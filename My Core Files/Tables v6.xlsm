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cu\Desktop\Marcus Folder\"/>
    </mc:Choice>
  </mc:AlternateContent>
  <xr:revisionPtr revIDLastSave="0" documentId="13_ncr:1_{8FD0EE89-81B4-4E00-ACAC-131F0088383D}" xr6:coauthVersionLast="47" xr6:coauthVersionMax="47" xr10:uidLastSave="{00000000-0000-0000-0000-000000000000}"/>
  <bookViews>
    <workbookView xWindow="-135" yWindow="30" windowWidth="18810" windowHeight="12345" tabRatio="1000" activeTab="4" xr2:uid="{6DAFC0FA-8292-4F3A-BB91-6A2A4DFFDEA6}"/>
  </bookViews>
  <sheets>
    <sheet name="Currency" sheetId="3" r:id="rId1"/>
    <sheet name="Bonds" sheetId="4" r:id="rId2"/>
    <sheet name="Tenants" sheetId="5" r:id="rId3"/>
    <sheet name="Rating" sheetId="2" r:id="rId4"/>
    <sheet name="PQuery Tables" sheetId="1" r:id="rId5"/>
  </sheets>
  <definedNames>
    <definedName name="_xlnm._FilterDatabase" localSheetId="4" hidden="1">'PQuery Tables'!$A$1:$A$2</definedName>
    <definedName name="_xlpm.colIndex" hidden="1" xlm="1">#NAME?</definedName>
    <definedName name="_xlpm.colValues" hidden="1" xlm="1">#NAME?</definedName>
    <definedName name="_xlpm.headers" hidden="1" xlm="1">#NAME?</definedName>
    <definedName name="_xlpm.j" hidden="1" xlm="1">#NAME?</definedName>
    <definedName name="_xlpm.outputRange" hidden="1" xlm="1">#NAME?</definedName>
    <definedName name="_xlpm.s" hidden="1" xlm="1">#NAME?</definedName>
    <definedName name="_xlpm.targetHeader" hidden="1" xlm="1">#NAME?</definedName>
    <definedName name="ExternalData_1" localSheetId="0" hidden="1">Currency!$H$2:$L$11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rossITLoad_01_6f1245f0-8be7-4e16-bce9-7caa2e3d0582" name="GrossITLoad_01" connection="Query - GrossITLoad_01"/>
          <x15:modelTable id="PUE_02_cf50a911-f586-40ad-8907-5771ec734a5e" name="PUE_02" connection="Query - PUE_02"/>
          <x15:modelTable id="GrossMonthlyRent_04_2879b054-15d4-426d-90e7-380d449194b5" name="GrossMonthlyRent_04" connection="Query - GrossMonthlyRent_04"/>
          <x15:modelTable id="OPEX_06_0ef276f8-34fd-4dfd-bdfe-c5d8da749186" name="OPEX_06" connection="Query - OPEX_06"/>
          <x15:modelTable id="CapexCostPrice_08_fcd309dc-cd3c-423e-b6fe-5d19e13895a0" name="CapexCostPrice_08" connection="Query - CapexCostPrice_08"/>
          <x15:modelTable id="CapexMarketRate_09_4d94d865-1783-4bff-9b0b-b20103451dd9" name="CapexMarketRate_09" connection="Query - CapexMarketRate_09"/>
          <x15:modelTable id="LandPurchaseFees_10_c887b630-9215-4cf5-9db5-70137a151386" name="LandPurchaseFees_10" connection="Query - LandPurchaseFees_10"/>
          <x15:modelTable id="TotalStructuringFees_13_bb69e5c0-3c80-4ee5-8de9-ebad156b7abd" name="TotalStructuringFees_13" connection="Query - TotalStructuringFees_13"/>
          <x15:modelTable id="NetITLoad_03_315e1d11-df90-4d9c-bd72-5bcec36177df" name="NetITLoad_03" connection="Query - NetITLoad_03"/>
          <x15:modelTable id="GrossIncome_05_06a2d2c2-6563-466a-8c56-8cf177a4e2bb" name="GrossIncome_05" connection="Query - GrossIncome_05"/>
          <x15:modelTable id="NetIncome_07_4383a794-d217-4e5e-a660-9037b882508c" name="NetIncome_07" connection="Query - NetIncome_07"/>
          <x15:modelTable id="SeniorCoupon_17_b83f0911-c174-461d-8ba1-f6caea008cc1" name="SeniorCoupon_17" connection="Query - SeniorCoupon_17"/>
          <x15:modelTable id="AFSenior_19_1ab1107f-89df-4f35-bef9-bdb9a81e42e8" name="AFSenior_19" connection="Query - AFSenior_1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A2" i="3"/>
  <c r="A3" i="3" s="1"/>
  <c r="F2" i="1" a="1"/>
  <c r="F2" i="1" s="1"/>
  <c r="D2" i="1" a="1"/>
  <c r="D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7CE72E-D0A6-4C50-9262-2810BF617AFD}" name="Query - AFSenior_19" description="Connection to the 'AFSenior_19' query in the workbook." type="100" refreshedVersion="8" minRefreshableVersion="5">
    <extLst>
      <ext xmlns:x15="http://schemas.microsoft.com/office/spreadsheetml/2010/11/main" uri="{DE250136-89BD-433C-8126-D09CA5730AF9}">
        <x15:connection id="3cc2c5dc-3730-4f16-ad7e-2c95b7309c07">
          <x15:oledbPr connection="Provider=Microsoft.Mashup.OleDb.1;Data Source=$Workbook$;Location=AFSenior_19;Extended Properties=&quot;&quot;">
            <x15:dbTables>
              <x15:dbTable name="AFSenior_19"/>
            </x15:dbTables>
          </x15:oledbPr>
        </x15:connection>
      </ext>
    </extLst>
  </connection>
  <connection id="2" xr16:uid="{9229231A-310A-4C66-BCFF-B25F3FB93302}" keepAlive="1" name="Query - AnnualDebtServiceSenior_20" description="Connection to the 'AnnualDebtServiceSenior_20' query in the workbook." type="5" refreshedVersion="0" background="1">
    <dbPr connection="Provider=Microsoft.Mashup.OleDb.1;Data Source=$Workbook$;Location=AnnualDebtServiceSenior_20;Extended Properties=&quot;&quot;" command="SELECT * FROM [AnnualDebtServiceSenior_20]"/>
  </connection>
  <connection id="3" xr16:uid="{D20F1024-692B-4F23-A6E3-6E4A60A944E8}" name="Query - CapexCostPrice_08" description="Connection to the 'CapexCostPrice_08' query in the workbook." type="100" refreshedVersion="8" minRefreshableVersion="5">
    <extLst>
      <ext xmlns:x15="http://schemas.microsoft.com/office/spreadsheetml/2010/11/main" uri="{DE250136-89BD-433C-8126-D09CA5730AF9}">
        <x15:connection id="3e1801f2-a596-440f-ba86-adaacc1cfdc4">
          <x15:oledbPr connection="Provider=Microsoft.Mashup.OleDb.1;Data Source=$Workbook$;Location=CapexCostPrice_08;Extended Properties=&quot;&quot;">
            <x15:dbTables>
              <x15:dbTable name="CapexCostPrice_08"/>
            </x15:dbTables>
          </x15:oledbPr>
        </x15:connection>
      </ext>
    </extLst>
  </connection>
  <connection id="4" xr16:uid="{2CECD536-88E8-4AAA-B387-E2D703632B25}" name="Query - CapexMarketRate_09" description="Connection to the 'CapexMarketRate_09' query in the workbook." type="100" refreshedVersion="8" minRefreshableVersion="5">
    <extLst>
      <ext xmlns:x15="http://schemas.microsoft.com/office/spreadsheetml/2010/11/main" uri="{DE250136-89BD-433C-8126-D09CA5730AF9}">
        <x15:connection id="93f29ac2-7f64-42a7-965d-5758d4484fc1">
          <x15:oledbPr connection="Provider=Microsoft.Mashup.OleDb.1;Data Source=$Workbook$;Location=CapexMarketRate_09;Extended Properties=&quot;&quot;">
            <x15:dbTables>
              <x15:dbTable name="CapexMarketRate_09"/>
            </x15:dbTables>
          </x15:oledbPr>
        </x15:connection>
      </ext>
    </extLst>
  </connection>
  <connection id="5" xr16:uid="{7436CE1E-7161-49CE-BD96-71A8B74893B4}" keepAlive="1" name="Query - Currency_00" description="Connection to the 'Currency_00' query in the workbook." type="5" refreshedVersion="0" background="1">
    <dbPr connection="Provider=Microsoft.Mashup.OleDb.1;Data Source=$Workbook$;Location=Currency_00;Extended Properties=&quot;&quot;" command="SELECT * FROM [Currency_00]"/>
  </connection>
  <connection id="6" xr16:uid="{387FD67A-7D2F-4AB9-BEDB-308A183C5AC1}" keepAlive="1" name="Query - DeveloperMargin_12" description="Connection to the 'DeveloperMargin_12' query in the workbook." type="5" refreshedVersion="0" background="1">
    <dbPr connection="Provider=Microsoft.Mashup.OleDb.1;Data Source=$Workbook$;Location=DeveloperMargin_12;Extended Properties=&quot;&quot;" command="SELECT * FROM [DeveloperMargin_12]"/>
  </connection>
  <connection id="7" xr16:uid="{11AB5D51-BC73-477E-B69A-FEBCA3E19D23}" keepAlive="1" name="Query - DeveloperMargin_12(1)" description="Connection to the 'DeveloperMargin_12' query in the workbook." type="5" refreshedVersion="8" background="1" saveData="1">
    <dbPr connection="Provider=Microsoft.Mashup.OleDb.1;Data Source=$Workbook$;Location=DeveloperMargin_12;Extended Properties=&quot;&quot;" command="SELECT * FROM [DeveloperMargin_12]"/>
  </connection>
  <connection id="8" xr16:uid="{4273B492-64BF-44BB-9820-965CC3995660}" keepAlive="1" name="Query - DeveloperProfit_11" description="Connection to the 'DeveloperProfit_11' query in the workbook." type="5" refreshedVersion="0" background="1">
    <dbPr connection="Provider=Microsoft.Mashup.OleDb.1;Data Source=$Workbook$;Location=DeveloperProfit_11;Extended Properties=&quot;&quot;" command="SELECT * FROM [DeveloperProfit_11]"/>
  </connection>
  <connection id="9" xr16:uid="{23DEBF29-D5E1-46B7-81E5-556589BDC346}" keepAlive="1" name="Query - DeveloperProfit_11(1)" description="Connection to the 'DeveloperProfit_11' query in the workbook." type="5" refreshedVersion="8" background="1" saveData="1">
    <dbPr connection="Provider=Microsoft.Mashup.OleDb.1;Data Source=$Workbook$;Location=DeveloperProfit_11;Extended Properties=&quot;&quot;" command="SELECT * FROM [DeveloperProfit_11]"/>
  </connection>
  <connection id="10" xr16:uid="{A298674F-18B8-4057-867A-52FB4FE2CF2C}" keepAlive="1" name="Query - fnFX" description="Connection to the 'fnFX' query in the workbook." type="5" refreshedVersion="0" background="1">
    <dbPr connection="Provider=Microsoft.Mashup.OleDb.1;Data Source=$Workbook$;Location=fnFX;Extended Properties=&quot;&quot;" command="SELECT * FROM [fnFX]"/>
  </connection>
  <connection id="11" xr16:uid="{5E425636-FC68-4C85-A3E1-B65374270B9B}" keepAlive="1" name="Query - FX_AllPairs" description="Connection to the 'FX_AllPairs' query in the workbook." type="5" refreshedVersion="0" background="1" refreshOnLoad="1" saveData="1">
    <dbPr connection="Provider=Microsoft.Mashup.OleDb.1;Data Source=$Workbook$;Location=FX_AllPairs;Extended Properties=&quot;&quot;" command="SELECT * FROM [FX_AllPairs]"/>
  </connection>
  <connection id="12" xr16:uid="{133C12F9-638B-47E6-AA33-92B5980B6DE0}" keepAlive="1" name="Query - FX_Use" description="Connection to the 'FX_Use' query in the workbook." type="5" refreshedVersion="8" background="1" refreshOnLoad="1" saveData="1">
    <dbPr connection="Provider=Microsoft.Mashup.OleDb.1;Data Source=$Workbook$;Location=FX_Use;Extended Properties=&quot;&quot;" command="SELECT * FROM [FX_Use]"/>
  </connection>
  <connection id="13" xr16:uid="{40B5413A-E851-460A-9B2F-E3E15D08A9A5}" name="Query - GrossIncome_05" description="Connection to the 'GrossIncome_05' query in the workbook." type="100" refreshedVersion="8" minRefreshableVersion="5">
    <extLst>
      <ext xmlns:x15="http://schemas.microsoft.com/office/spreadsheetml/2010/11/main" uri="{DE250136-89BD-433C-8126-D09CA5730AF9}">
        <x15:connection id="b096cfb7-37f5-47dd-8043-d40f12197d53">
          <x15:oledbPr connection="Provider=Microsoft.Mashup.OleDb.1;Data Source=$Workbook$;Location=GrossIncome_05;Extended Properties=&quot;&quot;">
            <x15:dbTables>
              <x15:dbTable name="GrossIncome_05"/>
            </x15:dbTables>
          </x15:oledbPr>
        </x15:connection>
      </ext>
    </extLst>
  </connection>
  <connection id="14" xr16:uid="{02FA7551-2BC3-4221-82A4-BB6D1A78E4FB}" keepAlive="1" name="Query - GrossIncome_05 (2)" description="Connection to the 'GrossIncome_05 (2)' query in the workbook." type="5" refreshedVersion="8" background="1" saveData="1">
    <dbPr connection="Provider=Microsoft.Mashup.OleDb.1;Data Source=$Workbook$;Location=&quot;GrossIncome_05 (2)&quot;;Extended Properties=&quot;&quot;" command="SELECT * FROM [GrossIncome_05 (2)]"/>
  </connection>
  <connection id="15" xr16:uid="{6B658C87-7AFF-451F-91AD-6274B6C4C51D}" name="Query - GrossITLoad_01" description="Connection to the 'GrossITLoad_01' query in the workbook." type="100" refreshedVersion="8" minRefreshableVersion="5">
    <extLst>
      <ext xmlns:x15="http://schemas.microsoft.com/office/spreadsheetml/2010/11/main" uri="{DE250136-89BD-433C-8126-D09CA5730AF9}">
        <x15:connection id="d4f6f32f-2d95-4b26-a2ab-4d8a128b32d1">
          <x15:oledbPr connection="Provider=Microsoft.Mashup.OleDb.1;Data Source=$Workbook$;Location=GrossITLoad_01;Extended Properties=&quot;&quot;">
            <x15:dbTables>
              <x15:dbTable name="GrossITLoad_01"/>
            </x15:dbTables>
          </x15:oledbPr>
        </x15:connection>
      </ext>
    </extLst>
  </connection>
  <connection id="16" xr16:uid="{B9828110-6A57-4284-A479-8809C8D3117A}" name="Query - GrossMonthlyRent_04" description="Connection to the 'GrossMonthlyRent_04' query in the workbook." type="100" refreshedVersion="8" minRefreshableVersion="5">
    <extLst>
      <ext xmlns:x15="http://schemas.microsoft.com/office/spreadsheetml/2010/11/main" uri="{DE250136-89BD-433C-8126-D09CA5730AF9}">
        <x15:connection id="debf2030-357b-455e-a876-2542e010ccd5">
          <x15:oledbPr connection="Provider=Microsoft.Mashup.OleDb.1;Data Source=$Workbook$;Location=GrossMonthlyRent_04;Extended Properties=&quot;&quot;">
            <x15:dbTables>
              <x15:dbTable name="GrossMonthlyRent_04"/>
            </x15:dbTables>
          </x15:oledbPr>
        </x15:connection>
      </ext>
    </extLst>
  </connection>
  <connection id="17" xr16:uid="{060988D5-B005-4E37-9832-1B089C390890}" name="Query - LandPurchaseFees_10" description="Connection to the 'LandPurchaseFees_10' query in the workbook." type="100" refreshedVersion="8" minRefreshableVersion="5">
    <extLst>
      <ext xmlns:x15="http://schemas.microsoft.com/office/spreadsheetml/2010/11/main" uri="{DE250136-89BD-433C-8126-D09CA5730AF9}">
        <x15:connection id="0358f272-d2c3-4af4-ae9a-dc84e67ee27b">
          <x15:oledbPr connection="Provider=Microsoft.Mashup.OleDb.1;Data Source=$Workbook$;Location=LandPurchaseFees_10;Extended Properties=&quot;&quot;">
            <x15:dbTables>
              <x15:dbTable name="LandPurchaseFees_10"/>
            </x15:dbTables>
          </x15:oledbPr>
        </x15:connection>
      </ext>
    </extLst>
  </connection>
  <connection id="18" xr16:uid="{9FCCE48D-80FF-4E8C-A290-9C68CC0035AF}" keepAlive="1" name="Query - MaxSeniorAsPercentageOfCosts_22" description="Connection to the 'MaxSeniorAsPercentageOfCosts_22' query in the workbook." type="5" refreshedVersion="0" background="1">
    <dbPr connection="Provider=Microsoft.Mashup.OleDb.1;Data Source=$Workbook$;Location=MaxSeniorAsPercentageOfCosts_22;Extended Properties=&quot;&quot;" command="SELECT * FROM [MaxSeniorAsPercentageOfCosts_22]"/>
  </connection>
  <connection id="19" xr16:uid="{430C0A13-1234-4FAF-B07A-BCE6F0D7EE53}" keepAlive="1" name="Query - MaxSeniorDebt_21" description="Connection to the 'MaxSeniorDebt_21' query in the workbook." type="5" refreshedVersion="0" background="1">
    <dbPr connection="Provider=Microsoft.Mashup.OleDb.1;Data Source=$Workbook$;Location=MaxSeniorDebt_21;Extended Properties=&quot;&quot;" command="SELECT * FROM [MaxSeniorDebt_21]"/>
  </connection>
  <connection id="20" xr16:uid="{FD1F8270-5C90-430C-913D-8BDA77610118}" name="Query - NetIncome_07" description="Connection to the 'NetIncome_07' query in the workbook." type="100" refreshedVersion="8" minRefreshableVersion="5">
    <extLst>
      <ext xmlns:x15="http://schemas.microsoft.com/office/spreadsheetml/2010/11/main" uri="{DE250136-89BD-433C-8126-D09CA5730AF9}">
        <x15:connection id="7460cd32-c5fb-48fd-ac9e-3dd0fdf81090">
          <x15:oledbPr connection="Provider=Microsoft.Mashup.OleDb.1;Data Source=$Workbook$;Location=NetIncome_07;Extended Properties=&quot;&quot;">
            <x15:dbTables>
              <x15:dbTable name="NetIncome_07"/>
            </x15:dbTables>
          </x15:oledbPr>
        </x15:connection>
      </ext>
    </extLst>
  </connection>
  <connection id="21" xr16:uid="{E11E2A66-DAD0-4530-A641-01A05071E5F2}" name="Query - NetITLoad_03" description="Connection to the 'NetITLoad_03' query in the workbook." type="100" refreshedVersion="8" minRefreshableVersion="5">
    <extLst>
      <ext xmlns:x15="http://schemas.microsoft.com/office/spreadsheetml/2010/11/main" uri="{DE250136-89BD-433C-8126-D09CA5730AF9}">
        <x15:connection id="a24a614b-4fbd-4c2c-9604-23a6231f100e">
          <x15:oledbPr connection="Provider=Microsoft.Mashup.OleDb.1;Data Source=$Workbook$;Location=NetITLoad_03;Extended Properties=&quot;&quot;">
            <x15:dbTables>
              <x15:dbTable name="NetITLoad_03"/>
            </x15:dbTables>
          </x15:oledbPr>
        </x15:connection>
      </ext>
    </extLst>
  </connection>
  <connection id="22" xr16:uid="{1FCB546E-50F2-42CC-93DE-BE26D1B31FF2}" name="Query - OPEX_06" description="Connection to the 'OPEX_06' query in the workbook." type="100" refreshedVersion="8" minRefreshableVersion="5">
    <extLst>
      <ext xmlns:x15="http://schemas.microsoft.com/office/spreadsheetml/2010/11/main" uri="{DE250136-89BD-433C-8126-D09CA5730AF9}">
        <x15:connection id="2d843f0a-b3eb-4cda-8f22-a837f53eb58d">
          <x15:oledbPr connection="Provider=Microsoft.Mashup.OleDb.1;Data Source=$Workbook$;Location=OPEX_06;Extended Properties=&quot;&quot;">
            <x15:dbTables>
              <x15:dbTable name="OPEX_06"/>
            </x15:dbTables>
          </x15:oledbPr>
        </x15:connection>
      </ext>
    </extLst>
  </connection>
  <connection id="23" xr16:uid="{9A0EE76A-F179-4CE8-B4A8-85E0F2ECC8E6}" name="Query - PUE_02" description="Connection to the 'PUE_02' query in the workbook." type="100" refreshedVersion="8" minRefreshableVersion="5">
    <extLst>
      <ext xmlns:x15="http://schemas.microsoft.com/office/spreadsheetml/2010/11/main" uri="{DE250136-89BD-433C-8126-D09CA5730AF9}">
        <x15:connection id="51237c21-40c9-425f-8bb7-7c658a0a851c">
          <x15:oledbPr connection="Provider=Microsoft.Mashup.OleDb.1;Data Source=$Workbook$;Location=PUE_02;Extended Properties=&quot;&quot;">
            <x15:dbTables>
              <x15:dbTable name="PUE_02"/>
            </x15:dbTables>
          </x15:oledbPr>
        </x15:connection>
      </ext>
    </extLst>
  </connection>
  <connection id="24" xr16:uid="{DFAF0E79-B420-4654-9D6D-543A2794B747}" name="Query - SeniorCoupon_17" description="Connection to the 'SeniorCoupon_17' query in the workbook." type="100" refreshedVersion="8" minRefreshableVersion="5">
    <extLst>
      <ext xmlns:x15="http://schemas.microsoft.com/office/spreadsheetml/2010/11/main" uri="{DE250136-89BD-433C-8126-D09CA5730AF9}">
        <x15:connection id="f1be2cd8-7c0a-48d8-9920-c8ee72888648">
          <x15:oledbPr connection="Provider=Microsoft.Mashup.OleDb.1;Data Source=$Workbook$;Location=SeniorCoupon_17;Extended Properties=&quot;&quot;">
            <x15:dbTables>
              <x15:dbTable name="SeniorCoupon_17"/>
            </x15:dbTables>
          </x15:oledbPr>
        </x15:connection>
      </ext>
    </extLst>
  </connection>
  <connection id="25" xr16:uid="{1022A637-79F4-439F-9FF9-6A77874BB51B}" keepAlive="1" name="Query - SeniorTenor_18" description="Connection to the 'SeniorTenor_18' query in the workbook." type="5" refreshedVersion="0" background="1">
    <dbPr connection="Provider=Microsoft.Mashup.OleDb.1;Data Source=$Workbook$;Location=SeniorTenor_18;Extended Properties=&quot;&quot;" command="SELECT * FROM [SeniorTenor_18]"/>
  </connection>
  <connection id="26" xr16:uid="{A7D3F34F-2770-4776-9539-1C93F239A6EB}" keepAlive="1" name="Query - TargetDSCRSenior_16" description="Connection to the 'TargetDSCRSenior_16' query in the workbook." type="5" refreshedVersion="0" background="1">
    <dbPr connection="Provider=Microsoft.Mashup.OleDb.1;Data Source=$Workbook$;Location=TargetDSCRSenior_16;Extended Properties=&quot;&quot;" command="SELECT * FROM [TargetDSCRSenior_16]"/>
  </connection>
  <connection id="27" xr16:uid="{02445812-0548-460A-ACEA-C9A04ECA1A44}" keepAlive="1" name="Query - TotalProjecInternalCosts_15" description="Connection to the 'TotalProjecInternalCosts_15' query in the workbook." type="5" refreshedVersion="0" background="1">
    <dbPr connection="Provider=Microsoft.Mashup.OleDb.1;Data Source=$Workbook$;Location=TotalProjecInternalCosts_15;Extended Properties=&quot;&quot;" command="SELECT * FROM [TotalProjecInternalCosts_15]"/>
  </connection>
  <connection id="28" xr16:uid="{EFD2FA1F-7E99-4690-A8B8-AD9DA0EAB2F2}" keepAlive="1" name="Query - TotalProjectInternalCosts_15" description="Connection to the 'TotalProjectInternalCosts_15' query in the workbook." type="5" refreshedVersion="8" background="1" saveData="1">
    <dbPr connection="Provider=Microsoft.Mashup.OleDb.1;Data Source=$Workbook$;Location=TotalProjectInternalCosts_15;Extended Properties=&quot;&quot;" command="SELECT * FROM [TotalProjectInternalCosts_15]"/>
  </connection>
  <connection id="29" xr16:uid="{F8FE825C-D163-4B1E-87A5-389490FC0E63}" keepAlive="1" name="Query - TotalProjectMarketCosts_14" description="Connection to the 'TotalProjectMarketCosts_14' query in the workbook." type="5" refreshedVersion="0" background="1">
    <dbPr connection="Provider=Microsoft.Mashup.OleDb.1;Data Source=$Workbook$;Location=TotalProjectMarketCosts_14;Extended Properties=&quot;&quot;" command="SELECT * FROM [TotalProjectMarketCosts_14]"/>
  </connection>
  <connection id="30" xr16:uid="{5AF20F18-3928-4669-AC13-2C1435FF3FD8}" keepAlive="1" name="Query - TotalProjectMarketCosts_14(1)" description="Connection to the 'TotalProjectMarketCosts_14' query in the workbook." type="5" refreshedVersion="8" background="1" saveData="1">
    <dbPr connection="Provider=Microsoft.Mashup.OleDb.1;Data Source=$Workbook$;Location=TotalProjectMarketCosts_14;Extended Properties=&quot;&quot;" command="SELECT * FROM [TotalProjectMarketCosts_14]"/>
  </connection>
  <connection id="31" xr16:uid="{BCD25A79-89B9-449B-9D05-9207A21B4F9A}" name="Query - TotalStructuringFees_13" description="Connection to the 'TotalStructuringFees_13' query in the workbook." type="100" refreshedVersion="8" minRefreshableVersion="5">
    <extLst>
      <ext xmlns:x15="http://schemas.microsoft.com/office/spreadsheetml/2010/11/main" uri="{DE250136-89BD-433C-8126-D09CA5730AF9}">
        <x15:connection id="b8b5beee-37f2-4051-9082-b6ec4ef239d9">
          <x15:oledbPr connection="Provider=Microsoft.Mashup.OleDb.1;Data Source=$Workbook$;Location=TotalStructuringFees_13;Extended Properties=&quot;&quot;">
            <x15:dbTables>
              <x15:dbTable name="TotalStructuringFees_13"/>
            </x15:dbTables>
          </x15:oledbPr>
        </x15:connection>
      </ext>
    </extLst>
  </connection>
  <connection id="32" xr16:uid="{FFF77B52-5030-4F7F-A66A-27042D9F80D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<sst xmlns="http://schemas.openxmlformats.org/spreadsheetml/2006/main" count="1622" uniqueCount="517">
  <si>
    <t>Target DSCR - Mezz</t>
  </si>
  <si>
    <t>Mezz Coupon (%)</t>
  </si>
  <si>
    <t>Annuity Factor - Mezz</t>
  </si>
  <si>
    <t>Remaining NOI (£)</t>
  </si>
  <si>
    <t>Annual Mezz Debt Service (£)</t>
  </si>
  <si>
    <t>Max Mezz Debt (£)</t>
  </si>
  <si>
    <t>Max Mezz as % of Costs (%)</t>
  </si>
  <si>
    <t>WACD - Mezz (%)</t>
  </si>
  <si>
    <t>calc in power query multi</t>
  </si>
  <si>
    <t>Manually FILL COLUMN</t>
  </si>
  <si>
    <t>BARE BONES FIGS</t>
  </si>
  <si>
    <t>ALL LAND FEES</t>
  </si>
  <si>
    <t>FOR TESTING PURPOSE</t>
  </si>
  <si>
    <t>KEY</t>
  </si>
  <si>
    <t>Manually input in this tab</t>
  </si>
  <si>
    <t>Table of inputs in this tab</t>
  </si>
  <si>
    <t>Calculated in PowerQuery Single Variation</t>
  </si>
  <si>
    <t>Calculated in PowerQuery Multiple Variation</t>
  </si>
  <si>
    <t>calc in power query one per query</t>
  </si>
  <si>
    <t>Calculated in PowerQuery One per Query</t>
  </si>
  <si>
    <t>Senior Amortisation Type</t>
  </si>
  <si>
    <t>Effective DSCR Buffer (%)</t>
  </si>
  <si>
    <t>calc in PQ multi</t>
  </si>
  <si>
    <t>Blended Senior + Mezz WACD (%)</t>
  </si>
  <si>
    <t>Blended DSCR</t>
  </si>
  <si>
    <t>Debt Headroom (%)</t>
  </si>
  <si>
    <t>Target Equity IRR (%)</t>
  </si>
  <si>
    <t>Min Equity Contribution (£)</t>
  </si>
  <si>
    <t>Developer Equity IRR (%)</t>
  </si>
  <si>
    <t>Equity as % of Project Cost</t>
  </si>
  <si>
    <t>AF Option (Years) - Mezz</t>
  </si>
  <si>
    <t>AF Lookup - Mezz (Amortising)</t>
  </si>
  <si>
    <t>AF Value - Mezz (Fully Amortising)</t>
  </si>
  <si>
    <t>Annual Debt Service (£) - Mezz</t>
  </si>
  <si>
    <t>Total Capital Stack (£)</t>
  </si>
  <si>
    <t>Overraise Amount (£)</t>
  </si>
  <si>
    <t>Residual Equity Needed (£)</t>
  </si>
  <si>
    <t>Effective Equity Value Multiple</t>
  </si>
  <si>
    <t>Equity Sale Uplift (%)</t>
  </si>
  <si>
    <t>Equity Sold (£)</t>
  </si>
  <si>
    <t>Equity Retained (£)</t>
  </si>
  <si>
    <t>Equity Retained Value (£)</t>
  </si>
  <si>
    <t>Residual Upside Capture Mechanism</t>
  </si>
  <si>
    <t>TRS Applied?</t>
  </si>
  <si>
    <t>TRS Strike Value (£)</t>
  </si>
  <si>
    <t>TRS Retained Upside (%)</t>
  </si>
  <si>
    <t>Notes / Use Case</t>
  </si>
  <si>
    <t>manually fill column</t>
  </si>
  <si>
    <t>Equity IRR (%)</t>
  </si>
  <si>
    <t>EQUITY as % of Project Cost</t>
  </si>
  <si>
    <t>Equity IRR Ranking</t>
  </si>
  <si>
    <t>Total Equity Value (£)</t>
  </si>
  <si>
    <t>Platform Sale Uplift (%)</t>
  </si>
  <si>
    <t>Platform Value Realised (£)</t>
  </si>
  <si>
    <t>Effective Total Value (£)</t>
  </si>
  <si>
    <t>Senior as % of Capital Stack</t>
  </si>
  <si>
    <t>Mezz as % of Capital Stack</t>
  </si>
  <si>
    <t>Equity as % of Capital Stack</t>
  </si>
  <si>
    <t>Blended WACD (%)</t>
  </si>
  <si>
    <t>Blended IRR (%)</t>
  </si>
  <si>
    <t>Viability Flag</t>
  </si>
  <si>
    <t>Yes,No</t>
  </si>
  <si>
    <t>0,3</t>
  </si>
  <si>
    <t>LEAVE BLANK FOR NOW</t>
  </si>
  <si>
    <t>23_LeaseTermYears</t>
  </si>
  <si>
    <t>24_AFStrategy</t>
  </si>
  <si>
    <t>25_TypeOfAFRun</t>
  </si>
  <si>
    <t>26_AFUsedYears</t>
  </si>
  <si>
    <t>27_AFCeiling</t>
  </si>
  <si>
    <t>28_AFDeltaYears</t>
  </si>
  <si>
    <t>29_ResidualAFValue</t>
  </si>
  <si>
    <t>30_PlaceableAt10YAF</t>
  </si>
  <si>
    <t>31_SeniorAmortisationType</t>
  </si>
  <si>
    <t>32_EffectiveDSCRBuffer</t>
  </si>
  <si>
    <t>33_TargetDSCRMezz</t>
  </si>
  <si>
    <t>34_MezzCoupon</t>
  </si>
  <si>
    <t>35_MezzTenorYears</t>
  </si>
  <si>
    <t>Mezz Tenor Years</t>
  </si>
  <si>
    <t>36_AFMezz</t>
  </si>
  <si>
    <t>35_RemainingNOI</t>
  </si>
  <si>
    <t>36_AnnualMezzDebtService</t>
  </si>
  <si>
    <t>37_MaxMezzDebt</t>
  </si>
  <si>
    <t>38_MaxMezzAsCosts</t>
  </si>
  <si>
    <t>39_WACDMezz</t>
  </si>
  <si>
    <t>40_LeaseTermsYearsMezz</t>
  </si>
  <si>
    <t>Lease Term Years - Mezz</t>
  </si>
  <si>
    <t>MARKET DATA CENTRE RATE</t>
  </si>
  <si>
    <t>PQ PLACEHOLDER</t>
  </si>
  <si>
    <t>GrossMonthlyRent_04</t>
  </si>
  <si>
    <t>NetITLoad_03</t>
  </si>
  <si>
    <t>PUE_02</t>
  </si>
  <si>
    <t>GrossITLoad_01</t>
  </si>
  <si>
    <t>GrossIncome_05</t>
  </si>
  <si>
    <t>OPEX_06</t>
  </si>
  <si>
    <t>NetIncome_07</t>
  </si>
  <si>
    <t>CapexCostPrice_08</t>
  </si>
  <si>
    <t>CapexMarketRate_09</t>
  </si>
  <si>
    <t>LandPurchaseFees_10</t>
  </si>
  <si>
    <t>DeveloperProfit_11</t>
  </si>
  <si>
    <t>DeveloperMargin_12</t>
  </si>
  <si>
    <t>TotalStructuringFees_13</t>
  </si>
  <si>
    <t>TotalProjectInternalCosts_15</t>
  </si>
  <si>
    <t>TotalProjectMarketCosts_14</t>
  </si>
  <si>
    <t>TargetDSCRSenior_16</t>
  </si>
  <si>
    <t>SeniorCoupon_17</t>
  </si>
  <si>
    <t>SeniorTenor_18</t>
  </si>
  <si>
    <t>AFSenior_19</t>
  </si>
  <si>
    <t>AnnualDebtServiceSenior_20</t>
  </si>
  <si>
    <t>MaxSeniorDebt_21</t>
  </si>
  <si>
    <t>MaxSeniorAsPercentageOfCosts_22</t>
  </si>
  <si>
    <t>WACDSeniorTraunche_23</t>
  </si>
  <si>
    <t>CONTINUE FROM HERE</t>
  </si>
  <si>
    <t>Jurisdiction</t>
  </si>
  <si>
    <t>GBP</t>
  </si>
  <si>
    <t>EUR</t>
  </si>
  <si>
    <t>USD</t>
  </si>
  <si>
    <t>UK</t>
  </si>
  <si>
    <t>EU</t>
  </si>
  <si>
    <t>USA</t>
  </si>
  <si>
    <t>From</t>
  </si>
  <si>
    <t>To</t>
  </si>
  <si>
    <t>Rate</t>
  </si>
  <si>
    <t>AsOf</t>
  </si>
  <si>
    <t>Currency_00</t>
  </si>
  <si>
    <t>FX_Cache</t>
  </si>
  <si>
    <t>CONDITIOINAL $£ FORMATING TO HERE</t>
  </si>
  <si>
    <t>Source</t>
  </si>
  <si>
    <t>FX_Use (Current Live FX Rates)</t>
  </si>
  <si>
    <t>Click "Renew" To Back Up FX_Cache</t>
  </si>
  <si>
    <t>FX Status Indicator</t>
  </si>
  <si>
    <t>Repo_Min_Rating</t>
  </si>
  <si>
    <t>Repo_Min_DSCR</t>
  </si>
  <si>
    <t>Repo_Max_LTV%</t>
  </si>
  <si>
    <t>Repo_Max_TenorY</t>
  </si>
  <si>
    <t>Repo_Cap_Rating</t>
  </si>
  <si>
    <t>Notes</t>
  </si>
  <si>
    <t>A-</t>
  </si>
  <si>
    <t>B+</t>
  </si>
  <si>
    <t>BBB+</t>
  </si>
  <si>
    <t>BB</t>
  </si>
  <si>
    <t>US</t>
  </si>
  <si>
    <t>A</t>
  </si>
  <si>
    <t>BB+</t>
  </si>
  <si>
    <t>REPO_Rules</t>
  </si>
  <si>
    <t>StructureType</t>
  </si>
  <si>
    <t>Bullet_Protection</t>
  </si>
  <si>
    <t>Min_Amort_%</t>
  </si>
  <si>
    <t>Liquidity_Reserve_Months</t>
  </si>
  <si>
    <t>Cash_Trap_Required</t>
  </si>
  <si>
    <t>Fully amortising</t>
  </si>
  <si>
    <t>N/A</t>
  </si>
  <si>
    <t>Yes</t>
  </si>
  <si>
    <t>Indicative BoE-style guardrails</t>
  </si>
  <si>
    <t>Partially amortising</t>
  </si>
  <si>
    <t>Min 30% scheduled amort over life</t>
  </si>
  <si>
    <t>Bullet</t>
  </si>
  <si>
    <t>Hard amort reserve &amp; mandatory sweep</t>
  </si>
  <si>
    <t>Bullet only with hard reserve + sweeps</t>
  </si>
  <si>
    <t>Indicative ECB-style discipline</t>
  </si>
  <si>
    <t>BBB</t>
  </si>
  <si>
    <t>Indicative Fed/repo dealer discipline</t>
  </si>
  <si>
    <t>AgencyRating</t>
  </si>
  <si>
    <t>TenantScore</t>
  </si>
  <si>
    <t>AAA</t>
  </si>
  <si>
    <t>AA+</t>
  </si>
  <si>
    <t>AA</t>
  </si>
  <si>
    <t>AA-</t>
  </si>
  <si>
    <t>A+</t>
  </si>
  <si>
    <t>BBB-</t>
  </si>
  <si>
    <t>BB-</t>
  </si>
  <si>
    <t>B</t>
  </si>
  <si>
    <t>B-</t>
  </si>
  <si>
    <t>CCC+</t>
  </si>
  <si>
    <t>CCC</t>
  </si>
  <si>
    <t>CCC-</t>
  </si>
  <si>
    <t>CC</t>
  </si>
  <si>
    <t>C</t>
  </si>
  <si>
    <t>Tenant_Rating_Map</t>
  </si>
  <si>
    <t>Factor</t>
  </si>
  <si>
    <t>Key</t>
  </si>
  <si>
    <t>Threshold</t>
  </si>
  <si>
    <t>Score</t>
  </si>
  <si>
    <t>DSCR</t>
  </si>
  <si>
    <t>Senior</t>
  </si>
  <si>
    <t>Mezz</t>
  </si>
  <si>
    <t>LTV</t>
  </si>
  <si>
    <t>TenorY</t>
  </si>
  <si>
    <t>All</t>
  </si>
  <si>
    <t>Factor_Thresholds</t>
  </si>
  <si>
    <t>Value</t>
  </si>
  <si>
    <t>IndexationType</t>
  </si>
  <si>
    <t>CPI-Indexed (cap≤4%, floor≥0%)</t>
  </si>
  <si>
    <t>CPI-Indexed (wide band)</t>
  </si>
  <si>
    <t>Fixed Rent</t>
  </si>
  <si>
    <t>Uncapped CPI</t>
  </si>
  <si>
    <t>HedgeQuality</t>
  </si>
  <si>
    <t>AA wrap / long-dated matched</t>
  </si>
  <si>
    <t>A wrap / partial</t>
  </si>
  <si>
    <t>Minimal</t>
  </si>
  <si>
    <t>None</t>
  </si>
  <si>
    <t>CollateralType</t>
  </si>
  <si>
    <t>Long-income CPI-linked</t>
  </si>
  <si>
    <t>Standard CRE income</t>
  </si>
  <si>
    <t>Concentrated/volatile</t>
  </si>
  <si>
    <t>RefiRisk</t>
  </si>
  <si>
    <t>Low (fully amortising)</t>
  </si>
  <si>
    <t>Medium (partial amort, strong cash trap)</t>
  </si>
  <si>
    <t>High (bullet)</t>
  </si>
  <si>
    <t>Diversity</t>
  </si>
  <si>
    <t>High (multi-asset/anchor+supporting)</t>
  </si>
  <si>
    <t>Medium</t>
  </si>
  <si>
    <t>Low (single asset/single counterparty)</t>
  </si>
  <si>
    <t>CounterpartyMin</t>
  </si>
  <si>
    <t>AA- and above</t>
  </si>
  <si>
    <t>A- to A+</t>
  </si>
  <si>
    <t>BBB- to BBB+</t>
  </si>
  <si>
    <t>BB+ and below</t>
  </si>
  <si>
    <t>LegalStrength</t>
  </si>
  <si>
    <t>Tier 1 docs, enforceable, clean security</t>
  </si>
  <si>
    <t>Standard, minor quals</t>
  </si>
  <si>
    <t>Complexity/qualifications</t>
  </si>
  <si>
    <t>Sovereign</t>
  </si>
  <si>
    <t>AAA/AA sovereign ceiling</t>
  </si>
  <si>
    <t>A band</t>
  </si>
  <si>
    <t>BBB band</t>
  </si>
  <si>
    <t>BB and below</t>
  </si>
  <si>
    <t>ESGFlag</t>
  </si>
  <si>
    <t>Positive/Neutral</t>
  </si>
  <si>
    <t>Negative (material risk)</t>
  </si>
  <si>
    <t>Factor_Maps</t>
  </si>
  <si>
    <t>Tranche</t>
  </si>
  <si>
    <t>WeightPct</t>
  </si>
  <si>
    <t>Weights</t>
  </si>
  <si>
    <t>MinScore</t>
  </si>
  <si>
    <t>InternalRating</t>
  </si>
  <si>
    <t>Score_To_Rating</t>
  </si>
  <si>
    <t>Driver</t>
  </si>
  <si>
    <t>MoodyNotches</t>
  </si>
  <si>
    <t>SPNotches</t>
  </si>
  <si>
    <t>FitchNotches</t>
  </si>
  <si>
    <t>Bullet w/o hard AM reserve</t>
  </si>
  <si>
    <t>All penalise bullets lacking protection</t>
  </si>
  <si>
    <t>Volatility</t>
  </si>
  <si>
    <t>Low</t>
  </si>
  <si>
    <t>Below investment grade</t>
  </si>
  <si>
    <t>Sovereign ceiling effects</t>
  </si>
  <si>
    <t>Agency_Notch_Adjust</t>
  </si>
  <si>
    <t>Rating</t>
  </si>
  <si>
    <t>Notch</t>
  </si>
  <si>
    <t>Rating_To_Notch</t>
  </si>
  <si>
    <t>Notch_To_Rating</t>
  </si>
  <si>
    <t>Rule</t>
  </si>
  <si>
    <t>Field</t>
  </si>
  <si>
    <t>Operator</t>
  </si>
  <si>
    <t>TestValue</t>
  </si>
  <si>
    <t>And_Field</t>
  </si>
  <si>
    <t>And_Operator</t>
  </si>
  <si>
    <t>And_TestValue</t>
  </si>
  <si>
    <t>CapRating</t>
  </si>
  <si>
    <t>Bullet without hard reserve</t>
  </si>
  <si>
    <t>=</t>
  </si>
  <si>
    <t>No bullets above A unless hard reserve</t>
  </si>
  <si>
    <t>High tenor &amp; high LTV</t>
  </si>
  <si>
    <t>&gt;</t>
  </si>
  <si>
    <t>Longer &amp; levered</t>
  </si>
  <si>
    <t>Low DSCR</t>
  </si>
  <si>
    <t>&lt;</t>
  </si>
  <si>
    <t>Floor for senior</t>
  </si>
  <si>
    <t>Very high LTV</t>
  </si>
  <si>
    <t>Cap mezz if extreme leverage</t>
  </si>
  <si>
    <t>Cap mezz on coverage weakness</t>
  </si>
  <si>
    <t>Weak Legal</t>
  </si>
  <si>
    <t>Docs risk cap</t>
  </si>
  <si>
    <t>Sovereign cap</t>
  </si>
  <si>
    <t>Sovereign ceiling</t>
  </si>
  <si>
    <t>Overrides</t>
  </si>
  <si>
    <t>DSCR_Min</t>
  </si>
  <si>
    <t>Tenant_MinRating</t>
  </si>
  <si>
    <t>Max_LTV%</t>
  </si>
  <si>
    <t>Max_TenorY</t>
  </si>
  <si>
    <t>OutputRating</t>
  </si>
  <si>
    <t>Senior_Matrix_UK</t>
  </si>
  <si>
    <t>Senior_Matrix_EU</t>
  </si>
  <si>
    <t>Senior_Matrix_US</t>
  </si>
  <si>
    <t>Mezz_Matrix</t>
  </si>
  <si>
    <t>Mezz_Matrix_EU</t>
  </si>
  <si>
    <t>Mezz_Matrix_US</t>
  </si>
  <si>
    <t>Repo_Rule_Key</t>
  </si>
  <si>
    <t>Tenant Name</t>
  </si>
  <si>
    <t>Parent / Listed Entity</t>
  </si>
  <si>
    <t>Ticker</t>
  </si>
  <si>
    <t>Primary Tenant Type</t>
  </si>
  <si>
    <t>HQ Country</t>
  </si>
  <si>
    <t>Public (Y/N)</t>
  </si>
  <si>
    <t>S&amp;P LT Rating</t>
  </si>
  <si>
    <t>Moody’s LT Rating</t>
  </si>
  <si>
    <t>Fitch LT IDR</t>
  </si>
  <si>
    <t>Outlook (per last action)</t>
  </si>
  <si>
    <t>Last Review Date (if known)</t>
  </si>
  <si>
    <t>Notes (1-liner)</t>
  </si>
  <si>
    <t>Amazon Web Services (AWS)</t>
  </si>
  <si>
    <t>AMZN</t>
  </si>
  <si>
    <t>Hyperscaler / Cloud</t>
  </si>
  <si>
    <t>Y</t>
  </si>
  <si>
    <t>A1</t>
  </si>
  <si>
    <t>Microsoft Azure</t>
  </si>
  <si>
    <t>MSFT</t>
  </si>
  <si>
    <t>Aaa</t>
  </si>
  <si>
    <t>Google Cloud Platform (GCP)</t>
  </si>
  <si>
    <t>GOOGL</t>
  </si>
  <si>
    <t>Aa2</t>
  </si>
  <si>
    <t>Meta Platforms (Core + AI)</t>
  </si>
  <si>
    <t>META</t>
  </si>
  <si>
    <t>Apple Services + Cloud</t>
  </si>
  <si>
    <t>AAPL</t>
  </si>
  <si>
    <t>Consumer Tech / Cloud</t>
  </si>
  <si>
    <t>Oracle Cloud Infrastructure (OCI)</t>
  </si>
  <si>
    <t>ORCL</t>
  </si>
  <si>
    <t>IBM Cloud</t>
  </si>
  <si>
    <t>IBM</t>
  </si>
  <si>
    <t>Cloud / IT Services</t>
  </si>
  <si>
    <t>Alibaba Cloud</t>
  </si>
  <si>
    <t>BABA</t>
  </si>
  <si>
    <t>Cloud / E-commerce</t>
  </si>
  <si>
    <t>Tencent Cloud</t>
  </si>
  <si>
    <t>0700.HK</t>
  </si>
  <si>
    <t>Cloud / Internet</t>
  </si>
  <si>
    <t>China</t>
  </si>
  <si>
    <t>Baidu AI Cloud</t>
  </si>
  <si>
    <t>BIDU</t>
  </si>
  <si>
    <t>Cloud / AI</t>
  </si>
  <si>
    <t>SAP Cloud</t>
  </si>
  <si>
    <t>SAP</t>
  </si>
  <si>
    <t>Germany</t>
  </si>
  <si>
    <t>Salesforce (Hyperforce)</t>
  </si>
  <si>
    <t>CRM</t>
  </si>
  <si>
    <t>NVIDIA DGX Cloud (with partners)</t>
  </si>
  <si>
    <t>NVDA</t>
  </si>
  <si>
    <t>ByteDance (TikTok &amp; AI)</t>
  </si>
  <si>
    <t>—</t>
  </si>
  <si>
    <t>N</t>
  </si>
  <si>
    <t>NR</t>
  </si>
  <si>
    <t>Snowflake</t>
  </si>
  <si>
    <t>Snowflake Inc.</t>
  </si>
  <si>
    <t>SNOW</t>
  </si>
  <si>
    <t>ServiceNow</t>
  </si>
  <si>
    <t>ServiceNow, Inc.</t>
  </si>
  <si>
    <t>NOW</t>
  </si>
  <si>
    <t>Workday</t>
  </si>
  <si>
    <t>Workday, Inc.</t>
  </si>
  <si>
    <t>WDAY</t>
  </si>
  <si>
    <t>Cloudflare</t>
  </si>
  <si>
    <t>Cloudflare, Inc.</t>
  </si>
  <si>
    <t>NET</t>
  </si>
  <si>
    <t>Netflix (CDN/Compute Offtake)</t>
  </si>
  <si>
    <t>Netflix, Inc.</t>
  </si>
  <si>
    <t>NFLX</t>
  </si>
  <si>
    <t>Adobe (Experience Cloud)</t>
  </si>
  <si>
    <t>ADBE</t>
  </si>
  <si>
    <t>Amazon.com, Inc. (AWS)</t>
  </si>
  <si>
    <t>Stable</t>
  </si>
  <si>
    <t>Amazon affirmed AA- (Fitch); large scale &amp; liquidity.</t>
  </si>
  <si>
    <t>Microsoft Corp. (Azure)</t>
  </si>
  <si>
    <t>2025-05-—</t>
  </si>
  <si>
    <t>Microsoft maintains AAA across all three.</t>
  </si>
  <si>
    <t>Alphabet Inc. (Google Cloud)</t>
  </si>
  <si>
    <t>Senior notes AA+ (S&amp;P); strong cash &amp; FCF.</t>
  </si>
  <si>
    <t>Meta Platforms, Inc. (Meta AI)</t>
  </si>
  <si>
    <t>AI / Social / Infra</t>
  </si>
  <si>
    <t>2025-—</t>
  </si>
  <si>
    <t>High cash, minimal debt; IG.</t>
  </si>
  <si>
    <t>Apple Inc. (iCloud/Services)</t>
  </si>
  <si>
    <t>Pristine balance sheet; Aaa/AA+.</t>
  </si>
  <si>
    <t>Oracle Corp. (OCI)</t>
  </si>
  <si>
    <t>Cloud / Enterprise SW</t>
  </si>
  <si>
    <t>Baa2</t>
  </si>
  <si>
    <t>Leverage higher post acquisitions; solid IG.</t>
  </si>
  <si>
    <t>International Business Machines (IBM Cloud)</t>
  </si>
  <si>
    <t>A3</t>
  </si>
  <si>
    <t>Services tilt; solid IG profile.</t>
  </si>
  <si>
    <t>Alibaba Group Holding (Alibaba Cloud)</t>
  </si>
  <si>
    <t>China/HK</t>
  </si>
  <si>
    <t>Use offshore issuer ratings; VIE nuances.</t>
  </si>
  <si>
    <t>Tencent Holdings (Tencent Cloud)</t>
  </si>
  <si>
    <t>Large platform; diversified cash flow.</t>
  </si>
  <si>
    <t>Baidu, Inc. (Baidu AI Cloud)</t>
  </si>
  <si>
    <t>AI/advertising mix; IG low A.</t>
  </si>
  <si>
    <t>NVIDIA Corp. (DGX Cloud &amp; partners)</t>
  </si>
  <si>
    <t>AI Compute / Platform</t>
  </si>
  <si>
    <t>Strong FCF; newly high IG by agencies.</t>
  </si>
  <si>
    <t>CoreWeave, Inc.</t>
  </si>
  <si>
    <t>AI IaaS / GPU Cloud</t>
  </si>
  <si>
    <t>Private; typically unrated.</t>
  </si>
  <si>
    <t>Lambda Labs, Inc.</t>
  </si>
  <si>
    <t>Salesforce, Inc. (Hyperforce)</t>
  </si>
  <si>
    <t>SaaS / Enterprise Cloud</t>
  </si>
  <si>
    <t>Large recurring revenue base.</t>
  </si>
  <si>
    <t>SAP SE (SAP Cloud)</t>
  </si>
  <si>
    <t>Strong European IG.</t>
  </si>
  <si>
    <t>Adobe Inc. (Experience Cloud)</t>
  </si>
  <si>
    <t>Robust margins; high IG.</t>
  </si>
  <si>
    <t>SaaS / Workflow</t>
  </si>
  <si>
    <t>Baa1</t>
  </si>
  <si>
    <t>2024-—</t>
  </si>
  <si>
    <t>Moody’s issuer rating present; others often NR.</t>
  </si>
  <si>
    <t>SaaS / HCM &amp; Finance</t>
  </si>
  <si>
    <t>Moody’s issuer rating; others often NR.</t>
  </si>
  <si>
    <t>Data Platform / Cloud</t>
  </si>
  <si>
    <t>Typically unrated.</t>
  </si>
  <si>
    <t>Atlassian Corp.</t>
  </si>
  <si>
    <t>TEAM</t>
  </si>
  <si>
    <t>Dev Collaboration</t>
  </si>
  <si>
    <t>Australia/USA</t>
  </si>
  <si>
    <t>MongoDB, Inc.</t>
  </si>
  <si>
    <t>MDB</t>
  </si>
  <si>
    <t>Database / Cloud</t>
  </si>
  <si>
    <t>Datadog, Inc.</t>
  </si>
  <si>
    <t>DDOG</t>
  </si>
  <si>
    <t>Observability / Cloud</t>
  </si>
  <si>
    <t>Elastic N.V.</t>
  </si>
  <si>
    <t>ESTC</t>
  </si>
  <si>
    <t>Search / Analytics</t>
  </si>
  <si>
    <t>USA/NL</t>
  </si>
  <si>
    <t>Palantir Technologies Inc.</t>
  </si>
  <si>
    <t>PLTR</t>
  </si>
  <si>
    <t>Data / AI</t>
  </si>
  <si>
    <t>CDN / Edge / Zero Trust</t>
  </si>
  <si>
    <t>Akamai Technologies, Inc.</t>
  </si>
  <si>
    <t>AKAM</t>
  </si>
  <si>
    <t>CDN / Security / Edge</t>
  </si>
  <si>
    <t>S&amp;P BBB; Fitch BBB+.</t>
  </si>
  <si>
    <t>Fastly, Inc.</t>
  </si>
  <si>
    <t>FSLY</t>
  </si>
  <si>
    <t>CDN / Edge</t>
  </si>
  <si>
    <t>Edgio, Inc. (ex-Limelight)</t>
  </si>
  <si>
    <t>EGIO</t>
  </si>
  <si>
    <t>Streaming / CDN Offtake</t>
  </si>
  <si>
    <t>Raised to IG in recent years.</t>
  </si>
  <si>
    <t>The Walt Disney Company (Disney+)</t>
  </si>
  <si>
    <t>DIS</t>
  </si>
  <si>
    <t>Streaming / Media</t>
  </si>
  <si>
    <t>A2</t>
  </si>
  <si>
    <t>Large diversified media group.</t>
  </si>
  <si>
    <t>Warner Bros. Discovery, Inc. (WBD)</t>
  </si>
  <si>
    <t>WBD</t>
  </si>
  <si>
    <t>Ba2</t>
  </si>
  <si>
    <t>HY but improving profile.</t>
  </si>
  <si>
    <t>Spotify Technology S.A.</t>
  </si>
  <si>
    <t>SPOT</t>
  </si>
  <si>
    <t>Streaming / Audio</t>
  </si>
  <si>
    <t>Sweden</t>
  </si>
  <si>
    <t>Ba1</t>
  </si>
  <si>
    <t>Sub-IG for now.</t>
  </si>
  <si>
    <t>ByteDance Ltd. (TikTok)</t>
  </si>
  <si>
    <t>Social / AI / Video</t>
  </si>
  <si>
    <t>X Corp. (Twitter)</t>
  </si>
  <si>
    <t>Social / Real-time</t>
  </si>
  <si>
    <t>Private; debt rated at entity level only.</t>
  </si>
  <si>
    <t>Reddit, Inc.</t>
  </si>
  <si>
    <t>RDDT</t>
  </si>
  <si>
    <t>Social / Community</t>
  </si>
  <si>
    <t>Recently listed; typically unrated.</t>
  </si>
  <si>
    <t>Shopify Inc.</t>
  </si>
  <si>
    <t>SHOP</t>
  </si>
  <si>
    <t>E-commerce SaaS</t>
  </si>
  <si>
    <t>Canada</t>
  </si>
  <si>
    <t>Uber Technologies, Inc.</t>
  </si>
  <si>
    <t>UBER</t>
  </si>
  <si>
    <t>Mobility / Platform</t>
  </si>
  <si>
    <t>Baa3</t>
  </si>
  <si>
    <t>Newly IG at BBB-/Baa3.</t>
  </si>
  <si>
    <t>DoorDash, Inc.</t>
  </si>
  <si>
    <t>DASH</t>
  </si>
  <si>
    <t>Delivery / Platform</t>
  </si>
  <si>
    <t>Airbnb, Inc.</t>
  </si>
  <si>
    <t>ABNB</t>
  </si>
  <si>
    <t>Travel / Platform</t>
  </si>
  <si>
    <t>Booking Holdings Inc.</t>
  </si>
  <si>
    <t>BKNG</t>
  </si>
  <si>
    <t>Strong cash; mid-IG.</t>
  </si>
  <si>
    <t>Electronic Arts Inc.</t>
  </si>
  <si>
    <t>EA</t>
  </si>
  <si>
    <t>Gaming / Online Services</t>
  </si>
  <si>
    <t>Long IG history.</t>
  </si>
  <si>
    <t>Sony Group Corp. (SIE)</t>
  </si>
  <si>
    <t>SONY</t>
  </si>
  <si>
    <t>Gaming / Network</t>
  </si>
  <si>
    <t>Japan</t>
  </si>
  <si>
    <t>Diversified electronics/media.</t>
  </si>
  <si>
    <t>Nintendo Co., Ltd.</t>
  </si>
  <si>
    <t>7974.T</t>
  </si>
  <si>
    <t>Gaming / Online</t>
  </si>
  <si>
    <t>Very strong net cash.</t>
  </si>
  <si>
    <t>Epic Games, Inc.</t>
  </si>
  <si>
    <t>Zoom Video Communications</t>
  </si>
  <si>
    <t>ZM</t>
  </si>
  <si>
    <t>UCaaS / Video</t>
  </si>
  <si>
    <t>Okta, Inc.</t>
  </si>
  <si>
    <t>OKTA</t>
  </si>
  <si>
    <t>Identity / Security</t>
  </si>
  <si>
    <t>CrowdStrike Holdings, Inc.</t>
  </si>
  <si>
    <t>CRWD</t>
  </si>
  <si>
    <t>Security / Cloud</t>
  </si>
  <si>
    <t>Zscaler, Inc.</t>
  </si>
  <si>
    <t>ZS</t>
  </si>
  <si>
    <t>JPMorgan Chase &amp; Co.</t>
  </si>
  <si>
    <t>JPM</t>
  </si>
  <si>
    <t>Financial Services</t>
  </si>
  <si>
    <t>Global SIFI; top-tier credit.</t>
  </si>
  <si>
    <t>HSBC Holdings plc</t>
  </si>
  <si>
    <t>HSBA.L</t>
  </si>
  <si>
    <t>Aa3</t>
  </si>
  <si>
    <t>Global bank; strong capital.</t>
  </si>
  <si>
    <t>Barclays plc</t>
  </si>
  <si>
    <t>BARC.L</t>
  </si>
  <si>
    <t>Major UK bank IG.</t>
  </si>
  <si>
    <t>Live ECB – 2025-08-12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</si>
</sst>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£&quot;#,##0.00"/>
    <numFmt numFmtId="167" formatCode="0.000000"/>
    <numFmt numFmtId="174" formatCode="0.0000000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6"/>
      <name val="Aptos Narrow"/>
      <family val="2"/>
      <scheme val="minor"/>
    </font>
    <font>
      <sz val="1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156">
    <xf numFmtId="0" fontId="0" fillId="0" borderId="0" xfId="0"/>
    <xf numFmtId="0" fontId="2" fillId="0" borderId="0" xfId="0" applyFont="1" applyAlignment="1">
      <alignment horizontal="left"/>
    </xf>
    <xf numFmtId="164" fontId="3" fillId="7" borderId="8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164" fontId="3" fillId="0" borderId="4" xfId="0" applyNumberFormat="1" applyFont="1" applyBorder="1" applyAlignment="1">
      <alignment horizontal="left"/>
    </xf>
    <xf numFmtId="0" fontId="4" fillId="0" borderId="0" xfId="0" applyFont="1" applyAlignment="1">
      <alignment horizontal="left"/>
    </xf>
    <xf numFmtId="0" fontId="2" fillId="5" borderId="10" xfId="0" applyFont="1" applyFill="1" applyBorder="1" applyAlignment="1">
      <alignment horizontal="left"/>
    </xf>
    <xf numFmtId="164" fontId="3" fillId="7" borderId="7" xfId="0" applyNumberFormat="1" applyFont="1" applyFill="1" applyBorder="1" applyAlignment="1">
      <alignment horizontal="left"/>
    </xf>
    <xf numFmtId="0" fontId="2" fillId="7" borderId="11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left"/>
    </xf>
    <xf numFmtId="164" fontId="3" fillId="7" borderId="4" xfId="0" applyNumberFormat="1" applyFont="1" applyFill="1" applyBorder="1" applyAlignment="1">
      <alignment horizontal="left"/>
    </xf>
    <xf numFmtId="10" fontId="2" fillId="7" borderId="8" xfId="0" applyNumberFormat="1" applyFont="1" applyFill="1" applyBorder="1" applyAlignment="1">
      <alignment horizontal="left"/>
    </xf>
    <xf numFmtId="0" fontId="2" fillId="7" borderId="8" xfId="0" applyFont="1" applyFill="1" applyBorder="1" applyAlignment="1">
      <alignment horizontal="left"/>
    </xf>
    <xf numFmtId="0" fontId="2" fillId="7" borderId="19" xfId="0" applyFont="1" applyFill="1" applyBorder="1" applyAlignment="1">
      <alignment horizontal="left"/>
    </xf>
    <xf numFmtId="2" fontId="3" fillId="7" borderId="8" xfId="0" applyNumberFormat="1" applyFont="1" applyFill="1" applyBorder="1" applyAlignment="1">
      <alignment horizontal="left"/>
    </xf>
    <xf numFmtId="2" fontId="3" fillId="7" borderId="7" xfId="0" applyNumberFormat="1" applyFont="1" applyFill="1" applyBorder="1" applyAlignment="1">
      <alignment horizontal="left"/>
    </xf>
    <xf numFmtId="10" fontId="2" fillId="7" borderId="19" xfId="0" applyNumberFormat="1" applyFont="1" applyFill="1" applyBorder="1" applyAlignment="1">
      <alignment horizontal="left"/>
    </xf>
    <xf numFmtId="10" fontId="2" fillId="7" borderId="3" xfId="0" applyNumberFormat="1" applyFont="1" applyFill="1" applyBorder="1" applyAlignment="1">
      <alignment horizontal="left"/>
    </xf>
    <xf numFmtId="10" fontId="2" fillId="7" borderId="6" xfId="0" applyNumberFormat="1" applyFont="1" applyFill="1" applyBorder="1" applyAlignment="1">
      <alignment horizontal="left"/>
    </xf>
    <xf numFmtId="10" fontId="3" fillId="7" borderId="3" xfId="0" applyNumberFormat="1" applyFont="1" applyFill="1" applyBorder="1" applyAlignment="1">
      <alignment horizontal="left"/>
    </xf>
    <xf numFmtId="10" fontId="3" fillId="7" borderId="8" xfId="0" applyNumberFormat="1" applyFont="1" applyFill="1" applyBorder="1" applyAlignment="1">
      <alignment horizontal="left"/>
    </xf>
    <xf numFmtId="10" fontId="3" fillId="7" borderId="7" xfId="0" applyNumberFormat="1" applyFont="1" applyFill="1" applyBorder="1" applyAlignment="1">
      <alignment horizontal="left"/>
    </xf>
    <xf numFmtId="10" fontId="2" fillId="7" borderId="7" xfId="0" applyNumberFormat="1" applyFont="1" applyFill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2" fontId="2" fillId="6" borderId="7" xfId="0" applyNumberFormat="1" applyFont="1" applyFill="1" applyBorder="1" applyAlignment="1">
      <alignment horizontal="center"/>
    </xf>
    <xf numFmtId="2" fontId="2" fillId="4" borderId="7" xfId="0" applyNumberFormat="1" applyFont="1" applyFill="1" applyBorder="1" applyAlignment="1">
      <alignment horizontal="center"/>
    </xf>
    <xf numFmtId="164" fontId="3" fillId="5" borderId="18" xfId="0" applyNumberFormat="1" applyFont="1" applyFill="1" applyBorder="1" applyAlignment="1">
      <alignment horizontal="left" wrapText="1"/>
    </xf>
    <xf numFmtId="164" fontId="3" fillId="5" borderId="18" xfId="0" applyNumberFormat="1" applyFont="1" applyFill="1" applyBorder="1" applyAlignment="1">
      <alignment horizontal="left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19" xfId="0" applyFont="1" applyFill="1" applyBorder="1" applyAlignment="1">
      <alignment horizontal="left"/>
    </xf>
    <xf numFmtId="164" fontId="3" fillId="6" borderId="17" xfId="0" applyNumberFormat="1" applyFont="1" applyFill="1" applyBorder="1" applyAlignment="1">
      <alignment horizontal="left"/>
    </xf>
    <xf numFmtId="164" fontId="3" fillId="8" borderId="4" xfId="0" applyNumberFormat="1" applyFont="1" applyFill="1" applyBorder="1" applyAlignment="1">
      <alignment horizontal="left"/>
    </xf>
    <xf numFmtId="164" fontId="3" fillId="8" borderId="8" xfId="0" applyNumberFormat="1" applyFont="1" applyFill="1" applyBorder="1" applyAlignment="1">
      <alignment horizontal="left"/>
    </xf>
    <xf numFmtId="164" fontId="3" fillId="8" borderId="7" xfId="0" applyNumberFormat="1" applyFont="1" applyFill="1" applyBorder="1" applyAlignment="1">
      <alignment horizontal="left"/>
    </xf>
    <xf numFmtId="0" fontId="2" fillId="9" borderId="1" xfId="0" applyFont="1" applyFill="1" applyBorder="1" applyAlignment="1">
      <alignment horizontal="left"/>
    </xf>
    <xf numFmtId="0" fontId="2" fillId="8" borderId="10" xfId="0" applyFont="1" applyFill="1" applyBorder="1" applyAlignment="1">
      <alignment horizontal="left"/>
    </xf>
    <xf numFmtId="0" fontId="2" fillId="6" borderId="7" xfId="0" applyFont="1" applyFill="1" applyBorder="1" applyAlignment="1">
      <alignment horizontal="left"/>
    </xf>
    <xf numFmtId="0" fontId="6" fillId="5" borderId="0" xfId="0" applyFont="1" applyFill="1" applyAlignment="1">
      <alignment horizontal="left" wrapText="1"/>
    </xf>
    <xf numFmtId="0" fontId="6" fillId="6" borderId="3" xfId="1" applyFont="1" applyFill="1" applyBorder="1" applyAlignment="1">
      <alignment horizontal="left" wrapText="1"/>
    </xf>
    <xf numFmtId="0" fontId="6" fillId="6" borderId="0" xfId="1" applyFont="1" applyFill="1" applyBorder="1" applyAlignment="1">
      <alignment horizontal="left" wrapText="1"/>
    </xf>
    <xf numFmtId="0" fontId="6" fillId="6" borderId="15" xfId="0" applyFont="1" applyFill="1" applyBorder="1" applyAlignment="1">
      <alignment horizontal="left"/>
    </xf>
    <xf numFmtId="0" fontId="6" fillId="6" borderId="1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6" fillId="6" borderId="16" xfId="0" applyFont="1" applyFill="1" applyBorder="1" applyAlignment="1">
      <alignment horizontal="left"/>
    </xf>
    <xf numFmtId="0" fontId="6" fillId="6" borderId="5" xfId="0" applyFont="1" applyFill="1" applyBorder="1" applyAlignment="1">
      <alignment horizontal="left"/>
    </xf>
    <xf numFmtId="0" fontId="6" fillId="6" borderId="13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/>
    </xf>
    <xf numFmtId="0" fontId="6" fillId="8" borderId="0" xfId="0" applyFont="1" applyFill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5" borderId="20" xfId="0" applyFont="1" applyFill="1" applyBorder="1" applyAlignment="1">
      <alignment horizontal="left"/>
    </xf>
    <xf numFmtId="0" fontId="6" fillId="6" borderId="12" xfId="0" applyFont="1" applyFill="1" applyBorder="1" applyAlignment="1">
      <alignment horizontal="left"/>
    </xf>
    <xf numFmtId="0" fontId="6" fillId="5" borderId="9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15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6" fillId="8" borderId="6" xfId="0" applyFont="1" applyFill="1" applyBorder="1" applyAlignment="1">
      <alignment horizontal="left"/>
    </xf>
    <xf numFmtId="0" fontId="7" fillId="0" borderId="0" xfId="0" applyFont="1" applyAlignment="1">
      <alignment horizontal="left"/>
    </xf>
    <xf numFmtId="0" fontId="6" fillId="9" borderId="0" xfId="0" applyFont="1" applyFill="1" applyAlignment="1">
      <alignment horizontal="left" wrapText="1"/>
    </xf>
    <xf numFmtId="2" fontId="2" fillId="9" borderId="18" xfId="0" applyNumberFormat="1" applyFont="1" applyFill="1" applyBorder="1" applyAlignment="1">
      <alignment horizontal="left"/>
    </xf>
    <xf numFmtId="10" fontId="3" fillId="5" borderId="18" xfId="0" applyNumberFormat="1" applyFont="1" applyFill="1" applyBorder="1" applyAlignment="1">
      <alignment horizontal="left" wrapText="1"/>
    </xf>
    <xf numFmtId="0" fontId="6" fillId="5" borderId="0" xfId="2" applyFont="1" applyFill="1" applyBorder="1" applyAlignment="1">
      <alignment horizontal="left" wrapText="1"/>
    </xf>
    <xf numFmtId="0" fontId="6" fillId="4" borderId="19" xfId="1" applyFont="1" applyFill="1" applyBorder="1" applyAlignment="1">
      <alignment horizontal="left" wrapText="1"/>
    </xf>
    <xf numFmtId="164" fontId="2" fillId="9" borderId="18" xfId="0" applyNumberFormat="1" applyFont="1" applyFill="1" applyBorder="1" applyAlignment="1">
      <alignment horizontal="left"/>
    </xf>
    <xf numFmtId="0" fontId="6" fillId="9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0" fillId="5" borderId="0" xfId="0" applyFill="1"/>
    <xf numFmtId="164" fontId="2" fillId="6" borderId="8" xfId="0" applyNumberFormat="1" applyFont="1" applyFill="1" applyBorder="1" applyAlignment="1">
      <alignment horizontal="center"/>
    </xf>
    <xf numFmtId="164" fontId="2" fillId="6" borderId="6" xfId="0" applyNumberFormat="1" applyFont="1" applyFill="1" applyBorder="1" applyAlignment="1">
      <alignment horizontal="center"/>
    </xf>
    <xf numFmtId="2" fontId="2" fillId="5" borderId="18" xfId="0" applyNumberFormat="1" applyFont="1" applyFill="1" applyBorder="1" applyAlignment="1">
      <alignment horizontal="left"/>
    </xf>
    <xf numFmtId="0" fontId="6" fillId="5" borderId="0" xfId="0" applyFont="1" applyFill="1" applyAlignment="1">
      <alignment horizontal="left"/>
    </xf>
    <xf numFmtId="10" fontId="2" fillId="5" borderId="18" xfId="0" applyNumberFormat="1" applyFont="1" applyFill="1" applyBorder="1" applyAlignment="1">
      <alignment horizontal="left"/>
    </xf>
    <xf numFmtId="0" fontId="2" fillId="5" borderId="18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14" fontId="0" fillId="0" borderId="0" xfId="0" applyNumberFormat="1"/>
    <xf numFmtId="167" fontId="0" fillId="0" borderId="0" xfId="0" applyNumberFormat="1"/>
    <xf numFmtId="0" fontId="6" fillId="9" borderId="21" xfId="0" applyFont="1" applyFill="1" applyBorder="1" applyAlignment="1">
      <alignment horizontal="left"/>
    </xf>
    <xf numFmtId="0" fontId="2" fillId="9" borderId="18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4" fillId="0" borderId="6" xfId="0" applyFont="1" applyBorder="1" applyAlignment="1">
      <alignment horizontal="left"/>
    </xf>
    <xf numFmtId="0" fontId="0" fillId="0" borderId="23" xfId="0" applyBorder="1"/>
    <xf numFmtId="0" fontId="0" fillId="0" borderId="0" xfId="0" applyBorder="1"/>
    <xf numFmtId="0" fontId="0" fillId="0" borderId="24" xfId="0" applyBorder="1"/>
    <xf numFmtId="14" fontId="0" fillId="0" borderId="24" xfId="0" applyNumberFormat="1" applyBorder="1"/>
    <xf numFmtId="0" fontId="0" fillId="0" borderId="25" xfId="0" applyBorder="1"/>
    <xf numFmtId="0" fontId="0" fillId="0" borderId="26" xfId="0" applyBorder="1"/>
    <xf numFmtId="14" fontId="0" fillId="0" borderId="17" xfId="0" applyNumberFormat="1" applyBorder="1"/>
    <xf numFmtId="0" fontId="0" fillId="0" borderId="23" xfId="0" applyNumberFormat="1" applyBorder="1"/>
    <xf numFmtId="0" fontId="0" fillId="0" borderId="0" xfId="0" applyNumberFormat="1" applyBorder="1"/>
    <xf numFmtId="14" fontId="0" fillId="0" borderId="0" xfId="0" applyNumberFormat="1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26" xfId="0" applyNumberFormat="1" applyBorder="1"/>
    <xf numFmtId="14" fontId="0" fillId="0" borderId="26" xfId="0" applyNumberFormat="1" applyBorder="1"/>
    <xf numFmtId="0" fontId="0" fillId="0" borderId="17" xfId="0" applyNumberFormat="1" applyBorder="1"/>
    <xf numFmtId="174" fontId="0" fillId="0" borderId="0" xfId="0" applyNumberFormat="1" applyBorder="1"/>
    <xf numFmtId="174" fontId="0" fillId="0" borderId="26" xfId="0" applyNumberFormat="1" applyBorder="1"/>
    <xf numFmtId="0" fontId="0" fillId="0" borderId="0" xfId="0" applyFill="1"/>
    <xf numFmtId="0" fontId="0" fillId="0" borderId="7" xfId="0" applyFill="1" applyBorder="1"/>
    <xf numFmtId="0" fontId="0" fillId="0" borderId="2" xfId="0" applyFill="1" applyBorder="1"/>
    <xf numFmtId="0" fontId="10" fillId="13" borderId="0" xfId="0" applyFont="1" applyFill="1" applyAlignment="1">
      <alignment horizontal="center"/>
    </xf>
    <xf numFmtId="0" fontId="0" fillId="10" borderId="27" xfId="0" applyFont="1" applyFill="1" applyBorder="1"/>
    <xf numFmtId="0" fontId="0" fillId="0" borderId="27" xfId="0" applyFont="1" applyBorder="1"/>
    <xf numFmtId="0" fontId="0" fillId="10" borderId="0" xfId="0" applyFont="1" applyFill="1" applyBorder="1"/>
    <xf numFmtId="2" fontId="0" fillId="0" borderId="27" xfId="0" applyNumberFormat="1" applyFont="1" applyBorder="1"/>
    <xf numFmtId="2" fontId="0" fillId="10" borderId="27" xfId="0" applyNumberFormat="1" applyFont="1" applyFill="1" applyBorder="1"/>
    <xf numFmtId="0" fontId="8" fillId="12" borderId="6" xfId="0" applyFont="1" applyFill="1" applyBorder="1"/>
    <xf numFmtId="0" fontId="8" fillId="11" borderId="9" xfId="0" applyFont="1" applyFill="1" applyBorder="1" applyAlignment="1">
      <alignment horizontal="center"/>
    </xf>
    <xf numFmtId="0" fontId="8" fillId="11" borderId="14" xfId="0" applyFont="1" applyFill="1" applyBorder="1" applyAlignment="1">
      <alignment horizontal="center"/>
    </xf>
    <xf numFmtId="0" fontId="8" fillId="11" borderId="15" xfId="0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1" fontId="0" fillId="0" borderId="27" xfId="0" applyNumberFormat="1" applyFont="1" applyBorder="1"/>
    <xf numFmtId="1" fontId="0" fillId="10" borderId="27" xfId="0" applyNumberFormat="1" applyFont="1" applyFill="1" applyBorder="1"/>
    <xf numFmtId="10" fontId="0" fillId="0" borderId="27" xfId="0" applyNumberFormat="1" applyFont="1" applyBorder="1"/>
    <xf numFmtId="10" fontId="0" fillId="10" borderId="27" xfId="0" applyNumberFormat="1" applyFont="1" applyFill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4" xfId="0" applyBorder="1"/>
    <xf numFmtId="0" fontId="0" fillId="0" borderId="35" xfId="0" applyBorder="1"/>
    <xf numFmtId="0" fontId="0" fillId="0" borderId="17" xfId="0" applyBorder="1"/>
    <xf numFmtId="9" fontId="0" fillId="0" borderId="27" xfId="0" applyNumberFormat="1" applyFont="1" applyBorder="1"/>
    <xf numFmtId="9" fontId="0" fillId="10" borderId="27" xfId="0" applyNumberFormat="1" applyFont="1" applyFill="1" applyBorder="1"/>
    <xf numFmtId="9" fontId="0" fillId="0" borderId="0" xfId="0" applyNumberFormat="1" applyBorder="1"/>
    <xf numFmtId="9" fontId="0" fillId="0" borderId="26" xfId="0" applyNumberFormat="1" applyBorder="1"/>
    <xf numFmtId="9" fontId="0" fillId="0" borderId="24" xfId="0" applyNumberFormat="1" applyBorder="1"/>
    <xf numFmtId="9" fontId="0" fillId="0" borderId="17" xfId="0" applyNumberFormat="1" applyBorder="1"/>
    <xf numFmtId="49" fontId="0" fillId="0" borderId="0" xfId="0" applyNumberFormat="1" applyFont="1" applyBorder="1" applyAlignment="1">
      <alignment wrapText="1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ont="1" applyFill="1" applyBorder="1"/>
    <xf numFmtId="49" fontId="0" fillId="0" borderId="0" xfId="0" applyNumberFormat="1" applyFont="1" applyFill="1" applyBorder="1" applyAlignment="1">
      <alignment wrapText="1"/>
    </xf>
    <xf numFmtId="49" fontId="0" fillId="0" borderId="0" xfId="0" applyNumberFormat="1" applyFont="1" applyFill="1" applyBorder="1"/>
    <xf numFmtId="0" fontId="10" fillId="0" borderId="0" xfId="0" applyFont="1" applyFill="1" applyAlignment="1">
      <alignment horizontal="center"/>
    </xf>
    <xf numFmtId="0" fontId="9" fillId="14" borderId="32" xfId="0" applyFont="1" applyFill="1" applyBorder="1" applyAlignment="1">
      <alignment horizontal="center"/>
    </xf>
    <xf numFmtId="0" fontId="9" fillId="14" borderId="33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22" xfId="0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0" fontId="9" fillId="5" borderId="14" xfId="0" applyFont="1" applyFill="1" applyBorder="1" applyAlignment="1">
      <alignment horizontal="center"/>
    </xf>
    <xf numFmtId="0" fontId="9" fillId="5" borderId="15" xfId="0" applyFont="1" applyFill="1" applyBorder="1" applyAlignment="1">
      <alignment horizontal="center"/>
    </xf>
    <xf numFmtId="2" fontId="0" fillId="0" borderId="23" xfId="0" applyNumberFormat="1" applyBorder="1"/>
    <xf numFmtId="2" fontId="0" fillId="0" borderId="25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" fontId="0" fillId="0" borderId="26" xfId="0" applyNumberFormat="1" applyBorder="1"/>
  </cellXfs>
  <cellStyles count="3">
    <cellStyle name="20% - Accent6" xfId="2" builtinId="50"/>
    <cellStyle name="40% - Accent3" xfId="1" builtinId="39"/>
    <cellStyle name="Normal" xfId="0" builtinId="0"/>
  </cellStyles>
  <dxfs count="105"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9" formatCode="dd/mm/yyyy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72" formatCode="[$€-2]\ #,##0.00;\-[$€-2]\ #,##0.00"/>
    </dxf>
    <dxf>
      <numFmt numFmtId="173" formatCode="[$$-409]#,##0.00_ ;\-[$$-409]#,##0.00\ "/>
    </dxf>
    <dxf>
      <numFmt numFmtId="11" formatCode="&quot;£&quot;#,##0.00;\-&quot;£&quot;#,##0.00"/>
    </dxf>
    <dxf>
      <numFmt numFmtId="11" formatCode="&quot;£&quot;#,##0.00;\-&quot;£&quot;#,##0.00"/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9393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9393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9393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9393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9393"/>
        </patternFill>
      </fill>
    </dxf>
    <dxf>
      <fill>
        <patternFill>
          <bgColor theme="6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74" formatCode="0.00000000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£&quot;#,##0.00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£&quot;#,##0.00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£&quot;#,##0.00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£&quot;#,##0.00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4" formatCode="0.00%"/>
      <fill>
        <patternFill patternType="solid">
          <fgColor indexed="64"/>
          <bgColor theme="5" tint="0.59999389629810485"/>
        </patternFill>
      </fill>
      <alignment horizontal="left" vertical="bottom" textRotation="0" wrapText="1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64" formatCode="&quot;£&quot;#,##0.00"/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1</xdr:row>
      <xdr:rowOff>104775</xdr:rowOff>
    </xdr:from>
    <xdr:to>
      <xdr:col>13</xdr:col>
      <xdr:colOff>2247900</xdr:colOff>
      <xdr:row>4</xdr:row>
      <xdr:rowOff>161925</xdr:rowOff>
    </xdr:to>
    <xdr:sp macro="[0]!Module2.RefreshFX_ThenUpdateCache" textlink="">
      <xdr:nvSpPr>
        <xdr:cNvPr id="2" name="TextBox 1">
          <a:extLst>
            <a:ext uri="{FF2B5EF4-FFF2-40B4-BE49-F238E27FC236}">
              <a16:creationId xmlns:a16="http://schemas.microsoft.com/office/drawing/2014/main" id="{4BDA6F85-8F0D-A88C-F3DE-6DD95EA13295}"/>
            </a:ext>
          </a:extLst>
        </xdr:cNvPr>
        <xdr:cNvSpPr txBox="1"/>
      </xdr:nvSpPr>
      <xdr:spPr>
        <a:xfrm>
          <a:off x="8829675" y="304800"/>
          <a:ext cx="2228850" cy="6381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Renew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2" xr16:uid="{49A47F81-4DB5-4618-8386-4C4C00AE797C}" autoFormatId="16" applyNumberFormats="0" applyBorderFormats="0" applyFontFormats="0" applyPatternFormats="0" applyAlignmentFormats="0" applyWidthHeightFormats="0">
  <queryTableRefresh nextId="6">
    <queryTableFields count="5">
      <queryTableField id="1" name="From" tableColumnId="1"/>
      <queryTableField id="2" name="To" tableColumnId="2"/>
      <queryTableField id="3" name="Rate" tableColumnId="3"/>
      <queryTableField id="4" name="AsOf" tableColumnId="4"/>
      <queryTableField id="5" name="Source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44C24E-0A6E-4EFC-AB84-3B6C5FA490C4}" name="FX_Cache" displayName="FX_Cache" ref="C2:F11" totalsRowShown="0">
  <autoFilter ref="C2:F11" xr:uid="{F644C24E-0A6E-4EFC-AB84-3B6C5FA490C4}"/>
  <tableColumns count="4">
    <tableColumn id="1" xr3:uid="{BF886E67-DACE-4811-889D-8E5105FA0C52}" name="From"/>
    <tableColumn id="2" xr3:uid="{FB86FE0E-D589-4460-8867-3259E3477B1D}" name="To"/>
    <tableColumn id="3" xr3:uid="{C3D509E5-CBE0-470C-82F2-EA21B6DF25E8}" name="Rate" dataDxfId="53"/>
    <tableColumn id="4" xr3:uid="{FB060388-E583-4D86-A8A4-704D957495D2}" name="AsOf" dataDxfId="5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A5C680-CE43-4D52-A00C-E25A6EE75463}" name="FX_Use" displayName="FX_Use" ref="H2:L11" tableType="queryTable" totalsRowShown="0">
  <autoFilter ref="H2:L11" xr:uid="{3FA5C680-CE43-4D52-A00C-E25A6EE75463}"/>
  <tableColumns count="5">
    <tableColumn id="1" xr3:uid="{D9B28937-8A9E-41A6-8019-ACBA9CE5603D}" uniqueName="1" name="From" queryTableFieldId="1" dataDxfId="3"/>
    <tableColumn id="2" xr3:uid="{065B6492-1987-41E3-B30A-CCB423B74F51}" uniqueName="2" name="To" queryTableFieldId="2" dataDxfId="2"/>
    <tableColumn id="3" xr3:uid="{A31CA6BB-AF9D-43AD-BB71-D2B9F62C9DF6}" uniqueName="3" name="Rate" queryTableFieldId="3"/>
    <tableColumn id="4" xr3:uid="{B7FBB9A2-9D4B-4369-8BC8-A80FC1F0C01C}" uniqueName="4" name="AsOf" queryTableFieldId="4" dataDxfId="1"/>
    <tableColumn id="5" xr3:uid="{72D46BE5-2D8D-47A2-8210-F57E57510EA3}" uniqueName="5" name="Source" queryTableFieldId="5" dataDxfId="0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6BC7B1-542A-4C76-ACDF-B12600EE8668}" name="Tenant_Rating_Map" displayName="Tenant_Rating_Map" ref="A17:B38" totalsRowShown="0" headerRowDxfId="33" headerRowBorderDxfId="37" tableBorderDxfId="38" totalsRowBorderDxfId="36">
  <autoFilter ref="A17:B38" xr:uid="{1F6BC7B1-542A-4C76-ACDF-B12600EE8668}"/>
  <tableColumns count="2">
    <tableColumn id="1" xr3:uid="{7028D5FD-4316-4B28-A977-41FCAD041F98}" name="AgencyRating" dataDxfId="35"/>
    <tableColumn id="2" xr3:uid="{82142BD3-194C-47FD-BBE7-B67BA1BE9A3C}" name="TenantScore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881A62-9F24-4EE4-9E4C-9A758ADD8D05}" name="REPO_Rules" displayName="REPO_Rules" ref="A2:M11" totalsRowShown="0" headerRowDxfId="44" dataDxfId="45" tableBorderDxfId="52">
  <autoFilter ref="A2:M11" xr:uid="{A4881A62-9F24-4EE4-9E4C-9A758ADD8D05}"/>
  <tableColumns count="13">
    <tableColumn id="1" xr3:uid="{B6671682-F9FC-4433-A130-4E4DE5A383BA}" name="Jurisdiction" dataDxfId="51"/>
    <tableColumn id="2" xr3:uid="{CAA6228E-7C17-485A-8568-8C6B0E2512CD}" name="StructureType" dataDxfId="50"/>
    <tableColumn id="3" xr3:uid="{4B8267F6-F738-45D2-9744-6031BCEE4846}" name="Bullet_Protection" dataDxfId="49"/>
    <tableColumn id="4" xr3:uid="{576BC4AD-5D6C-40AB-B221-2C732002F40C}" name="Min_Amort_%" dataDxfId="48"/>
    <tableColumn id="5" xr3:uid="{BECAEC93-1C64-4F12-8E92-B19E9F855183}" name="Repo_Min_Rating" dataDxfId="43"/>
    <tableColumn id="6" xr3:uid="{F001EED5-4BE0-4B6B-8F9F-9E23F1F93093}" name="Repo_Min_DSCR" dataDxfId="41"/>
    <tableColumn id="7" xr3:uid="{C07140A6-7547-45AD-805C-0B97DF27FC69}" name="Repo_Max_LTV%" dataDxfId="39"/>
    <tableColumn id="8" xr3:uid="{C48C4A5F-8E30-46E1-86E9-74A7B9B9B2A5}" name="Repo_Max_TenorY" dataDxfId="40"/>
    <tableColumn id="9" xr3:uid="{4DBC9986-F89D-4736-9E3D-92122A48D75F}" name="Liquidity_Reserve_Months" dataDxfId="42"/>
    <tableColumn id="10" xr3:uid="{3965A90A-9B0F-49FD-93A7-32616AC03C92}" name="Cash_Trap_Required" dataDxfId="47"/>
    <tableColumn id="11" xr3:uid="{E61E559D-3877-45ED-82D2-BA4E3680249A}" name="Repo_Cap_Rating" dataDxfId="46"/>
    <tableColumn id="12" xr3:uid="{C7313A28-4167-477E-BC0F-EB906712098B}" name="Notes" dataDxfId="32"/>
    <tableColumn id="13" xr3:uid="{A7D3B27F-C5DB-42C4-81B4-0AD5685B252D}" name="Repo_Rule_Key" dataDxfId="31">
      <calculatedColumnFormula>UPPER(TRIM(REPO_Rules[[#This Row],[Jurisdiction]])) &amp; "|" &amp; UPPER(TRIM(REPO_Rules[[#This Row],[StructureType]]))</calculatedColumnFormula>
    </tableColumn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D2F9A06-E8C7-4421-B179-19C35B20B1C4}" name="GrossITLoad_01" displayName="GrossITLoad_01" ref="B1:B2" totalsRowShown="0" headerRowDxfId="104" dataDxfId="103" tableBorderDxfId="102">
  <autoFilter ref="B1:B2" xr:uid="{FD2F9A06-E8C7-4421-B179-19C35B20B1C4}"/>
  <tableColumns count="1">
    <tableColumn id="1" xr3:uid="{AB782EC8-B411-4BC4-900A-941D261B261F}" name="GrossITLoad_01" dataDxfId="10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3C8D08C-AA76-4A09-AFE3-5595A5FD9CA6}" name="PUE_02" displayName="PUE_02" ref="C1:C2" totalsRowShown="0" headerRowDxfId="100" dataDxfId="99" tableBorderDxfId="98">
  <autoFilter ref="C1:C2" xr:uid="{53C8D08C-AA76-4A09-AFE3-5595A5FD9CA6}"/>
  <tableColumns count="1">
    <tableColumn id="1" xr3:uid="{034A2D4A-4886-41F5-A613-B084D812D391}" name="PUE_02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3A2BE58-101D-47E1-8717-58892BE43F9E}" name="GrossMonthlyRent_04" displayName="GrossMonthlyRent_04" ref="E1:E7" totalsRowShown="0" headerRowDxfId="96" dataDxfId="95" tableBorderDxfId="94">
  <autoFilter ref="E1:E7" xr:uid="{23A2BE58-101D-47E1-8717-58892BE43F9E}"/>
  <tableColumns count="1">
    <tableColumn id="1" xr3:uid="{CDCEA87E-4974-4390-A556-F27AD6DA4B85}" name="GrossMonthlyRent_04" dataDxfId="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77B19E7-2E15-45AD-A642-D20BBBF1078D}" name="OPEX_06" displayName="OPEX_06" ref="G1:G5" totalsRowShown="0" headerRowDxfId="92" dataDxfId="91" tableBorderDxfId="90" headerRowCellStyle="20% - Accent6">
  <autoFilter ref="G1:G5" xr:uid="{577B19E7-2E15-45AD-A642-D20BBBF1078D}"/>
  <tableColumns count="1">
    <tableColumn id="1" xr3:uid="{61804E39-1137-4A15-AC7B-5C4BC57D5AEF}" name="OPEX_06" dataDxfId="8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1053BC-2BD5-4B21-99F0-512AA36D0E9D}" name="CapexCostPrice_08" displayName="CapexCostPrice_08" ref="I1:I2" totalsRowShown="0" headerRowDxfId="88" dataDxfId="87" tableBorderDxfId="86">
  <autoFilter ref="I1:I2" xr:uid="{F71053BC-2BD5-4B21-99F0-512AA36D0E9D}"/>
  <tableColumns count="1">
    <tableColumn id="1" xr3:uid="{FD073A39-26DA-43E0-834F-815A3E8F09CA}" name="CapexCostPrice_08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860DACE-B922-43D7-B232-A750080CD09D}" name="CapexMarketRate_09" displayName="CapexMarketRate_09" ref="J1:J2" totalsRowShown="0" headerRowDxfId="84" dataDxfId="83" tableBorderDxfId="82">
  <autoFilter ref="J1:J2" xr:uid="{1860DACE-B922-43D7-B232-A750080CD09D}"/>
  <tableColumns count="1">
    <tableColumn id="1" xr3:uid="{DB6B5C5D-E367-4416-9929-264140ABF7CB}" name="CapexMarketRate_09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DEE59AD-4DF5-4051-BE70-5F7061D8C0A7}" name="LandPurchaseFees_10" displayName="LandPurchaseFees_10" ref="K1:K2" totalsRowShown="0" headerRowDxfId="80" dataDxfId="79" tableBorderDxfId="78">
  <autoFilter ref="K1:K2" xr:uid="{8DEE59AD-4DF5-4051-BE70-5F7061D8C0A7}"/>
  <tableColumns count="1">
    <tableColumn id="1" xr3:uid="{EB470BBA-2CD8-4C09-BFA8-50C3153DB79E}" name="LandPurchaseFees_10" dataDxfId="7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F1535ED-FE1B-4DD6-9DB9-408C5B5FB5B3}" name="TotalStructuringFees_13" displayName="TotalStructuringFees_13" ref="N1:N2" totalsRowShown="0" headerRowDxfId="76" dataDxfId="75" tableBorderDxfId="74">
  <autoFilter ref="N1:N2" xr:uid="{7F1535ED-FE1B-4DD6-9DB9-408C5B5FB5B3}"/>
  <tableColumns count="1">
    <tableColumn id="1" xr3:uid="{E1F4D021-E413-4003-8A0A-77F58EF0B4D2}" name="TotalStructuringFees_13" dataDxfId="7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AC0651C7-C07F-422D-95A2-DF5CDF2C624F}" name="TargetDSCRSenior_16" displayName="TargetDSCRSenior_16" ref="Q1:Q8" totalsRowShown="0" headerRowDxfId="72" dataDxfId="71" tableBorderDxfId="70">
  <autoFilter ref="Q1:Q8" xr:uid="{AC0651C7-C07F-422D-95A2-DF5CDF2C624F}"/>
  <tableColumns count="1">
    <tableColumn id="1" xr3:uid="{9509854F-DDC6-42D2-810C-79AF046ABA18}" name="TargetDSCRSenior_16" dataDxfId="6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75BBA95-4B3C-42CF-821B-639D6D6D45E5}" name="SeniorCoupon_17" displayName="SeniorCoupon_17" ref="R1:R10" totalsRowShown="0" headerRowDxfId="68" dataDxfId="67" tableBorderDxfId="66">
  <autoFilter ref="R1:R10" xr:uid="{875BBA95-4B3C-42CF-821B-639D6D6D45E5}"/>
  <tableColumns count="1">
    <tableColumn id="1" xr3:uid="{557DE59D-F676-40C4-AF6F-57837E586AD7}" name="SeniorCoupon_17" dataDxfId="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6AA4247-B3B4-4AAA-8936-D651C869DF73}" name="SeniorTenor_18" displayName="SeniorTenor_18" ref="S1:S8" totalsRowShown="0" headerRowDxfId="64" dataDxfId="63" tableBorderDxfId="62">
  <autoFilter ref="S1:S8" xr:uid="{16AA4247-B3B4-4AAA-8936-D651C869DF73}"/>
  <tableColumns count="1">
    <tableColumn id="1" xr3:uid="{5000543E-6D12-4FF8-82CE-1BE443FF3E13}" name="SeniorTenor_18" dataDxfId="6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E3F6E9-A7AC-44F2-9FF1-7BA258082E4D}" name="Currency_00" displayName="Currency_00" ref="A1:A2" totalsRowShown="0" headerRowDxfId="55" dataDxfId="56" headerRowBorderDxfId="59" tableBorderDxfId="60" totalsRowBorderDxfId="58">
  <autoFilter ref="A1:A2" xr:uid="{F2E3F6E9-A7AC-44F2-9FF1-7BA258082E4D}"/>
  <tableColumns count="1">
    <tableColumn id="1" xr3:uid="{176F7B7D-D4F6-4907-BC0E-7861155D99D9}" name="Currency_00" dataDxfId="57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F63ED-792A-4403-8B78-66FF525966F1}">
  <sheetPr codeName="Sheet2"/>
  <dimension ref="A1:O29"/>
  <sheetViews>
    <sheetView workbookViewId="0">
      <selection activeCell="H2" sqref="H2:L11"/>
    </sheetView>
  </sheetViews>
  <sheetFormatPr defaultRowHeight="15" x14ac:dyDescent="0.25"/>
  <cols>
    <col min="1" max="1" width="24.7109375" bestFit="1" customWidth="1"/>
    <col min="3" max="3" width="7.85546875" bestFit="1" customWidth="1"/>
    <col min="4" max="4" width="5.42578125" bestFit="1" customWidth="1"/>
    <col min="5" max="5" width="11.5703125" bestFit="1" customWidth="1"/>
    <col min="6" max="6" width="10.42578125" bestFit="1" customWidth="1"/>
    <col min="7" max="7" width="8.5703125" bestFit="1" customWidth="1"/>
    <col min="8" max="8" width="7.85546875" bestFit="1" customWidth="1"/>
    <col min="9" max="9" width="5.42578125" bestFit="1" customWidth="1"/>
    <col min="10" max="10" width="12.140625" bestFit="1" customWidth="1"/>
    <col min="11" max="11" width="10.5703125" bestFit="1" customWidth="1"/>
    <col min="12" max="12" width="19.5703125" bestFit="1" customWidth="1"/>
    <col min="14" max="14" width="33.85546875" bestFit="1" customWidth="1"/>
  </cols>
  <sheetData>
    <row r="1" spans="1:15" ht="15.75" thickBot="1" x14ac:dyDescent="0.3">
      <c r="A1" s="109" t="s">
        <v>129</v>
      </c>
      <c r="C1" s="110" t="s">
        <v>124</v>
      </c>
      <c r="D1" s="111"/>
      <c r="E1" s="111"/>
      <c r="F1" s="112"/>
      <c r="H1" s="113" t="s">
        <v>127</v>
      </c>
      <c r="I1" s="114"/>
      <c r="J1" s="114"/>
      <c r="K1" s="114"/>
      <c r="L1" s="115"/>
      <c r="N1" s="116" t="s">
        <v>128</v>
      </c>
      <c r="O1" s="81"/>
    </row>
    <row r="2" spans="1:15" x14ac:dyDescent="0.25">
      <c r="A2" s="102" t="str">
        <f>IFERROR(INDEX(FX_Use[Source],1)&amp;"  (AsOf "&amp;TEXT(MAX(FX_Use[AsOf]),"dd/mm/yyyy")&amp;")","")</f>
        <v>Live ECB – 2025-08-12  (AsOf 12/08/2025)</v>
      </c>
      <c r="C2" s="83" t="s">
        <v>119</v>
      </c>
      <c r="D2" s="84" t="s">
        <v>120</v>
      </c>
      <c r="E2" s="84" t="s">
        <v>121</v>
      </c>
      <c r="F2" s="85" t="s">
        <v>122</v>
      </c>
      <c r="H2" s="83" t="s">
        <v>119</v>
      </c>
      <c r="I2" s="84" t="s">
        <v>120</v>
      </c>
      <c r="J2" s="84" t="s">
        <v>121</v>
      </c>
      <c r="K2" s="84" t="s">
        <v>122</v>
      </c>
      <c r="L2" s="85" t="s">
        <v>126</v>
      </c>
    </row>
    <row r="3" spans="1:15" ht="15.75" thickBot="1" x14ac:dyDescent="0.3">
      <c r="A3" s="101" t="str">
        <f ca="1">IF(ISNUMBER(SEARCH("Cache",$A$2)),"CACHE",
   IF(MAX(FX_Use[AsOf])&lt;TODAY()-3,"STALE  FX (&gt;3 days)","OK"))</f>
        <v>OK</v>
      </c>
      <c r="C3" s="83" t="s">
        <v>114</v>
      </c>
      <c r="D3" s="84" t="s">
        <v>114</v>
      </c>
      <c r="E3" s="98">
        <v>1</v>
      </c>
      <c r="F3" s="86">
        <v>45881</v>
      </c>
      <c r="H3" s="90" t="s">
        <v>114</v>
      </c>
      <c r="I3" s="91" t="s">
        <v>114</v>
      </c>
      <c r="J3" s="84">
        <v>1</v>
      </c>
      <c r="K3" s="92">
        <v>45881</v>
      </c>
      <c r="L3" s="93" t="s">
        <v>516</v>
      </c>
    </row>
    <row r="4" spans="1:15" x14ac:dyDescent="0.25">
      <c r="A4" s="100"/>
      <c r="C4" s="83" t="s">
        <v>114</v>
      </c>
      <c r="D4" s="84" t="s">
        <v>115</v>
      </c>
      <c r="E4" s="98">
        <v>1.1606000000000001</v>
      </c>
      <c r="F4" s="86">
        <v>45881</v>
      </c>
      <c r="H4" s="90" t="s">
        <v>114</v>
      </c>
      <c r="I4" s="91" t="s">
        <v>115</v>
      </c>
      <c r="J4" s="84">
        <v>1.1606000000000001</v>
      </c>
      <c r="K4" s="92">
        <v>45881</v>
      </c>
      <c r="L4" s="93" t="s">
        <v>516</v>
      </c>
    </row>
    <row r="5" spans="1:15" x14ac:dyDescent="0.25">
      <c r="A5" s="100"/>
      <c r="C5" s="83" t="s">
        <v>114</v>
      </c>
      <c r="D5" s="84" t="s">
        <v>113</v>
      </c>
      <c r="E5" s="98">
        <v>0.86209999999999998</v>
      </c>
      <c r="F5" s="86">
        <v>45881</v>
      </c>
      <c r="H5" s="90" t="s">
        <v>114</v>
      </c>
      <c r="I5" s="91" t="s">
        <v>113</v>
      </c>
      <c r="J5" s="84">
        <v>0.86209999999999998</v>
      </c>
      <c r="K5" s="92">
        <v>45881</v>
      </c>
      <c r="L5" s="93" t="s">
        <v>516</v>
      </c>
    </row>
    <row r="6" spans="1:15" x14ac:dyDescent="0.25">
      <c r="C6" s="83" t="s">
        <v>113</v>
      </c>
      <c r="D6" s="84" t="s">
        <v>113</v>
      </c>
      <c r="E6" s="98">
        <v>1</v>
      </c>
      <c r="F6" s="86">
        <v>45881</v>
      </c>
      <c r="H6" s="90" t="s">
        <v>113</v>
      </c>
      <c r="I6" s="91" t="s">
        <v>113</v>
      </c>
      <c r="J6" s="84">
        <v>1</v>
      </c>
      <c r="K6" s="92">
        <v>45881</v>
      </c>
      <c r="L6" s="93" t="s">
        <v>516</v>
      </c>
    </row>
    <row r="7" spans="1:15" x14ac:dyDescent="0.25">
      <c r="C7" s="83" t="s">
        <v>113</v>
      </c>
      <c r="D7" s="84" t="s">
        <v>114</v>
      </c>
      <c r="E7" s="98">
        <v>1.1599582415033058</v>
      </c>
      <c r="F7" s="86">
        <v>45881</v>
      </c>
      <c r="H7" s="90" t="s">
        <v>113</v>
      </c>
      <c r="I7" s="91" t="s">
        <v>114</v>
      </c>
      <c r="J7" s="84">
        <v>1.1599582415033058</v>
      </c>
      <c r="K7" s="92">
        <v>45881</v>
      </c>
      <c r="L7" s="93" t="s">
        <v>516</v>
      </c>
    </row>
    <row r="8" spans="1:15" x14ac:dyDescent="0.25">
      <c r="C8" s="83" t="s">
        <v>113</v>
      </c>
      <c r="D8" s="84" t="s">
        <v>115</v>
      </c>
      <c r="E8" s="98">
        <v>1.3462475350887368</v>
      </c>
      <c r="F8" s="86">
        <v>45881</v>
      </c>
      <c r="H8" s="90" t="s">
        <v>113</v>
      </c>
      <c r="I8" s="91" t="s">
        <v>115</v>
      </c>
      <c r="J8" s="84">
        <v>1.3462475350887368</v>
      </c>
      <c r="K8" s="92">
        <v>45881</v>
      </c>
      <c r="L8" s="93" t="s">
        <v>516</v>
      </c>
    </row>
    <row r="9" spans="1:15" x14ac:dyDescent="0.25">
      <c r="C9" s="83" t="s">
        <v>115</v>
      </c>
      <c r="D9" s="84" t="s">
        <v>115</v>
      </c>
      <c r="E9" s="98">
        <v>1</v>
      </c>
      <c r="F9" s="86">
        <v>45881</v>
      </c>
      <c r="H9" s="90" t="s">
        <v>115</v>
      </c>
      <c r="I9" s="91" t="s">
        <v>115</v>
      </c>
      <c r="J9" s="84">
        <v>1</v>
      </c>
      <c r="K9" s="92">
        <v>45881</v>
      </c>
      <c r="L9" s="93" t="s">
        <v>516</v>
      </c>
    </row>
    <row r="10" spans="1:15" x14ac:dyDescent="0.25">
      <c r="C10" s="83" t="s">
        <v>115</v>
      </c>
      <c r="D10" s="84" t="s">
        <v>114</v>
      </c>
      <c r="E10" s="98">
        <v>0.86162329829398576</v>
      </c>
      <c r="F10" s="86">
        <v>45881</v>
      </c>
      <c r="H10" s="90" t="s">
        <v>115</v>
      </c>
      <c r="I10" s="91" t="s">
        <v>114</v>
      </c>
      <c r="J10" s="84">
        <v>0.86162329829398576</v>
      </c>
      <c r="K10" s="92">
        <v>45881</v>
      </c>
      <c r="L10" s="93" t="s">
        <v>516</v>
      </c>
    </row>
    <row r="11" spans="1:15" ht="15.75" thickBot="1" x14ac:dyDescent="0.3">
      <c r="C11" s="87" t="s">
        <v>115</v>
      </c>
      <c r="D11" s="88" t="s">
        <v>113</v>
      </c>
      <c r="E11" s="99">
        <v>0.7428054454592451</v>
      </c>
      <c r="F11" s="89">
        <v>45881</v>
      </c>
      <c r="H11" s="94" t="s">
        <v>115</v>
      </c>
      <c r="I11" s="95" t="s">
        <v>113</v>
      </c>
      <c r="J11" s="88">
        <v>0.7428054454592451</v>
      </c>
      <c r="K11" s="96">
        <v>45881</v>
      </c>
      <c r="L11" s="97" t="s">
        <v>516</v>
      </c>
    </row>
    <row r="21" spans="7:8" x14ac:dyDescent="0.25">
      <c r="G21" s="78"/>
      <c r="H21" s="77"/>
    </row>
    <row r="22" spans="7:8" x14ac:dyDescent="0.25">
      <c r="G22" s="78"/>
      <c r="H22" s="77"/>
    </row>
    <row r="23" spans="7:8" x14ac:dyDescent="0.25">
      <c r="G23" s="78"/>
      <c r="H23" s="77"/>
    </row>
    <row r="24" spans="7:8" x14ac:dyDescent="0.25">
      <c r="G24" s="78"/>
      <c r="H24" s="77"/>
    </row>
    <row r="25" spans="7:8" x14ac:dyDescent="0.25">
      <c r="G25" s="78"/>
      <c r="H25" s="77"/>
    </row>
    <row r="26" spans="7:8" x14ac:dyDescent="0.25">
      <c r="G26" s="78"/>
      <c r="H26" s="77"/>
    </row>
    <row r="27" spans="7:8" x14ac:dyDescent="0.25">
      <c r="G27" s="78"/>
      <c r="H27" s="77"/>
    </row>
    <row r="28" spans="7:8" x14ac:dyDescent="0.25">
      <c r="G28" s="78"/>
      <c r="H28" s="77"/>
    </row>
    <row r="29" spans="7:8" x14ac:dyDescent="0.25">
      <c r="G29" s="78"/>
      <c r="H29" s="77"/>
    </row>
  </sheetData>
  <mergeCells count="2">
    <mergeCell ref="C1:F1"/>
    <mergeCell ref="H1:L1"/>
  </mergeCells>
  <conditionalFormatting sqref="A3">
    <cfRule type="expression" dxfId="30" priority="1" stopIfTrue="1">
      <formula>"$A$3=""CACHE"""</formula>
    </cfRule>
    <cfRule type="expression" dxfId="29" priority="2" stopIfTrue="1">
      <formula>LEFT($A$3,5)="STALE"</formula>
    </cfRule>
    <cfRule type="expression" dxfId="28" priority="3" stopIfTrue="1">
      <formula>$A$3="OK"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2363-0089-4C39-AF92-A788251E76B3}">
  <dimension ref="A1"/>
  <sheetViews>
    <sheetView workbookViewId="0">
      <selection activeCell="E17" sqref="A1:E1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5BF28-A282-4B99-80C8-C5BC873469EF}">
  <dimension ref="A2:L53"/>
  <sheetViews>
    <sheetView workbookViewId="0">
      <selection activeCell="B12" sqref="B12"/>
    </sheetView>
  </sheetViews>
  <sheetFormatPr defaultRowHeight="15" x14ac:dyDescent="0.25"/>
  <cols>
    <col min="1" max="1" width="31" bestFit="1" customWidth="1"/>
    <col min="2" max="2" width="35.85546875" bestFit="1" customWidth="1"/>
    <col min="3" max="3" width="8" bestFit="1" customWidth="1"/>
    <col min="4" max="4" width="25" bestFit="1" customWidth="1"/>
    <col min="5" max="5" width="10.85546875" bestFit="1" customWidth="1"/>
    <col min="6" max="6" width="11.5703125" bestFit="1" customWidth="1"/>
    <col min="7" max="7" width="12.7109375" bestFit="1" customWidth="1"/>
    <col min="8" max="8" width="16.85546875" bestFit="1" customWidth="1"/>
    <col min="9" max="9" width="11" bestFit="1" customWidth="1"/>
    <col min="10" max="10" width="22.85546875" bestFit="1" customWidth="1"/>
    <col min="11" max="11" width="25.140625" bestFit="1" customWidth="1"/>
    <col min="12" max="12" width="60.28515625" bestFit="1" customWidth="1"/>
  </cols>
  <sheetData>
    <row r="2" spans="1:12" x14ac:dyDescent="0.25">
      <c r="A2" t="s">
        <v>288</v>
      </c>
      <c r="B2" t="s">
        <v>289</v>
      </c>
      <c r="C2" t="s">
        <v>290</v>
      </c>
      <c r="D2" t="s">
        <v>291</v>
      </c>
      <c r="E2" t="s">
        <v>292</v>
      </c>
      <c r="F2" t="s">
        <v>293</v>
      </c>
      <c r="G2" t="s">
        <v>294</v>
      </c>
      <c r="H2" t="s">
        <v>295</v>
      </c>
      <c r="I2" t="s">
        <v>296</v>
      </c>
      <c r="J2" t="s">
        <v>297</v>
      </c>
      <c r="K2" t="s">
        <v>298</v>
      </c>
      <c r="L2" t="s">
        <v>299</v>
      </c>
    </row>
    <row r="3" spans="1:12" x14ac:dyDescent="0.25">
      <c r="A3" t="s">
        <v>300</v>
      </c>
      <c r="B3" t="s">
        <v>359</v>
      </c>
      <c r="C3" t="s">
        <v>301</v>
      </c>
      <c r="D3" t="s">
        <v>302</v>
      </c>
      <c r="E3" t="s">
        <v>118</v>
      </c>
      <c r="F3" t="s">
        <v>303</v>
      </c>
      <c r="G3" t="s">
        <v>166</v>
      </c>
      <c r="H3" t="s">
        <v>304</v>
      </c>
      <c r="I3" t="s">
        <v>166</v>
      </c>
      <c r="J3" t="s">
        <v>360</v>
      </c>
      <c r="K3" s="77">
        <v>45841</v>
      </c>
      <c r="L3" t="s">
        <v>361</v>
      </c>
    </row>
    <row r="4" spans="1:12" x14ac:dyDescent="0.25">
      <c r="A4" t="s">
        <v>305</v>
      </c>
      <c r="B4" t="s">
        <v>362</v>
      </c>
      <c r="C4" t="s">
        <v>306</v>
      </c>
      <c r="D4" t="s">
        <v>302</v>
      </c>
      <c r="E4" t="s">
        <v>118</v>
      </c>
      <c r="F4" t="s">
        <v>303</v>
      </c>
      <c r="G4" t="s">
        <v>163</v>
      </c>
      <c r="H4" t="s">
        <v>307</v>
      </c>
      <c r="I4" t="s">
        <v>163</v>
      </c>
      <c r="J4" t="s">
        <v>360</v>
      </c>
      <c r="K4" t="s">
        <v>363</v>
      </c>
      <c r="L4" t="s">
        <v>364</v>
      </c>
    </row>
    <row r="5" spans="1:12" x14ac:dyDescent="0.25">
      <c r="A5" t="s">
        <v>308</v>
      </c>
      <c r="B5" t="s">
        <v>365</v>
      </c>
      <c r="C5" t="s">
        <v>309</v>
      </c>
      <c r="D5" t="s">
        <v>302</v>
      </c>
      <c r="E5" t="s">
        <v>118</v>
      </c>
      <c r="F5" t="s">
        <v>303</v>
      </c>
      <c r="G5" t="s">
        <v>164</v>
      </c>
      <c r="H5" t="s">
        <v>310</v>
      </c>
      <c r="I5" t="s">
        <v>164</v>
      </c>
      <c r="J5" t="s">
        <v>360</v>
      </c>
      <c r="K5" s="77">
        <v>45775</v>
      </c>
      <c r="L5" t="s">
        <v>366</v>
      </c>
    </row>
    <row r="6" spans="1:12" x14ac:dyDescent="0.25">
      <c r="A6" t="s">
        <v>311</v>
      </c>
      <c r="B6" t="s">
        <v>367</v>
      </c>
      <c r="C6" t="s">
        <v>312</v>
      </c>
      <c r="D6" t="s">
        <v>368</v>
      </c>
      <c r="E6" t="s">
        <v>118</v>
      </c>
      <c r="F6" t="s">
        <v>303</v>
      </c>
      <c r="G6" t="s">
        <v>166</v>
      </c>
      <c r="H6" t="s">
        <v>304</v>
      </c>
      <c r="I6" t="s">
        <v>166</v>
      </c>
      <c r="J6" t="s">
        <v>360</v>
      </c>
      <c r="K6" t="s">
        <v>369</v>
      </c>
      <c r="L6" t="s">
        <v>370</v>
      </c>
    </row>
    <row r="7" spans="1:12" x14ac:dyDescent="0.25">
      <c r="A7" t="s">
        <v>313</v>
      </c>
      <c r="B7" t="s">
        <v>371</v>
      </c>
      <c r="C7" t="s">
        <v>314</v>
      </c>
      <c r="D7" t="s">
        <v>315</v>
      </c>
      <c r="E7" t="s">
        <v>118</v>
      </c>
      <c r="F7" t="s">
        <v>303</v>
      </c>
      <c r="G7" t="s">
        <v>164</v>
      </c>
      <c r="H7" t="s">
        <v>307</v>
      </c>
      <c r="I7" t="s">
        <v>164</v>
      </c>
      <c r="J7" t="s">
        <v>360</v>
      </c>
      <c r="K7" s="77">
        <v>45796</v>
      </c>
      <c r="L7" t="s">
        <v>372</v>
      </c>
    </row>
    <row r="8" spans="1:12" x14ac:dyDescent="0.25">
      <c r="A8" t="s">
        <v>316</v>
      </c>
      <c r="B8" t="s">
        <v>373</v>
      </c>
      <c r="C8" t="s">
        <v>317</v>
      </c>
      <c r="D8" t="s">
        <v>374</v>
      </c>
      <c r="E8" t="s">
        <v>118</v>
      </c>
      <c r="F8" t="s">
        <v>303</v>
      </c>
      <c r="G8" t="s">
        <v>138</v>
      </c>
      <c r="H8" t="s">
        <v>375</v>
      </c>
      <c r="I8" t="s">
        <v>138</v>
      </c>
      <c r="J8" t="s">
        <v>360</v>
      </c>
      <c r="K8" t="s">
        <v>369</v>
      </c>
      <c r="L8" t="s">
        <v>376</v>
      </c>
    </row>
    <row r="9" spans="1:12" x14ac:dyDescent="0.25">
      <c r="A9" t="s">
        <v>318</v>
      </c>
      <c r="B9" t="s">
        <v>377</v>
      </c>
      <c r="C9" t="s">
        <v>319</v>
      </c>
      <c r="D9" t="s">
        <v>320</v>
      </c>
      <c r="E9" t="s">
        <v>118</v>
      </c>
      <c r="F9" t="s">
        <v>303</v>
      </c>
      <c r="G9" t="s">
        <v>136</v>
      </c>
      <c r="H9" t="s">
        <v>378</v>
      </c>
      <c r="I9" t="s">
        <v>136</v>
      </c>
      <c r="J9" t="s">
        <v>360</v>
      </c>
      <c r="K9" t="s">
        <v>369</v>
      </c>
      <c r="L9" t="s">
        <v>379</v>
      </c>
    </row>
    <row r="10" spans="1:12" x14ac:dyDescent="0.25">
      <c r="A10" t="s">
        <v>321</v>
      </c>
      <c r="B10" t="s">
        <v>380</v>
      </c>
      <c r="C10" t="s">
        <v>322</v>
      </c>
      <c r="D10" t="s">
        <v>323</v>
      </c>
      <c r="E10" t="s">
        <v>381</v>
      </c>
      <c r="F10" t="s">
        <v>303</v>
      </c>
      <c r="G10" t="s">
        <v>136</v>
      </c>
      <c r="H10" t="s">
        <v>378</v>
      </c>
      <c r="I10" t="s">
        <v>136</v>
      </c>
      <c r="J10" t="s">
        <v>360</v>
      </c>
      <c r="K10" t="s">
        <v>369</v>
      </c>
      <c r="L10" t="s">
        <v>382</v>
      </c>
    </row>
    <row r="11" spans="1:12" x14ac:dyDescent="0.25">
      <c r="A11" t="s">
        <v>324</v>
      </c>
      <c r="B11" t="s">
        <v>383</v>
      </c>
      <c r="C11" t="s">
        <v>325</v>
      </c>
      <c r="D11" t="s">
        <v>326</v>
      </c>
      <c r="E11" t="s">
        <v>381</v>
      </c>
      <c r="F11" t="s">
        <v>303</v>
      </c>
      <c r="G11" t="s">
        <v>167</v>
      </c>
      <c r="H11" t="s">
        <v>304</v>
      </c>
      <c r="I11" t="s">
        <v>167</v>
      </c>
      <c r="J11" t="s">
        <v>360</v>
      </c>
      <c r="K11" t="s">
        <v>369</v>
      </c>
      <c r="L11" t="s">
        <v>384</v>
      </c>
    </row>
    <row r="12" spans="1:12" x14ac:dyDescent="0.25">
      <c r="A12" t="s">
        <v>328</v>
      </c>
      <c r="B12" t="s">
        <v>385</v>
      </c>
      <c r="C12" t="s">
        <v>329</v>
      </c>
      <c r="D12" t="s">
        <v>330</v>
      </c>
      <c r="E12" t="s">
        <v>327</v>
      </c>
      <c r="F12" t="s">
        <v>303</v>
      </c>
      <c r="G12" t="s">
        <v>136</v>
      </c>
      <c r="H12" t="s">
        <v>378</v>
      </c>
      <c r="I12" t="s">
        <v>136</v>
      </c>
      <c r="J12" t="s">
        <v>360</v>
      </c>
      <c r="K12" t="s">
        <v>369</v>
      </c>
      <c r="L12" t="s">
        <v>386</v>
      </c>
    </row>
    <row r="13" spans="1:12" x14ac:dyDescent="0.25">
      <c r="A13" t="s">
        <v>331</v>
      </c>
      <c r="B13" t="s">
        <v>387</v>
      </c>
      <c r="C13" t="s">
        <v>337</v>
      </c>
      <c r="D13" t="s">
        <v>388</v>
      </c>
      <c r="E13" t="s">
        <v>118</v>
      </c>
      <c r="F13" t="s">
        <v>303</v>
      </c>
      <c r="G13" t="s">
        <v>166</v>
      </c>
      <c r="H13" t="s">
        <v>304</v>
      </c>
      <c r="I13" t="s">
        <v>166</v>
      </c>
      <c r="J13" t="s">
        <v>360</v>
      </c>
      <c r="K13" t="s">
        <v>369</v>
      </c>
      <c r="L13" t="s">
        <v>389</v>
      </c>
    </row>
    <row r="14" spans="1:12" x14ac:dyDescent="0.25">
      <c r="A14" t="s">
        <v>334</v>
      </c>
      <c r="B14" t="s">
        <v>390</v>
      </c>
      <c r="C14" t="s">
        <v>339</v>
      </c>
      <c r="D14" t="s">
        <v>391</v>
      </c>
      <c r="E14" t="s">
        <v>118</v>
      </c>
      <c r="F14" t="s">
        <v>340</v>
      </c>
      <c r="G14" t="s">
        <v>341</v>
      </c>
      <c r="H14" t="s">
        <v>341</v>
      </c>
      <c r="I14" t="s">
        <v>341</v>
      </c>
      <c r="J14" t="s">
        <v>339</v>
      </c>
      <c r="K14" t="s">
        <v>339</v>
      </c>
      <c r="L14" t="s">
        <v>392</v>
      </c>
    </row>
    <row r="15" spans="1:12" x14ac:dyDescent="0.25">
      <c r="A15" t="s">
        <v>336</v>
      </c>
      <c r="B15" t="s">
        <v>393</v>
      </c>
      <c r="C15" t="s">
        <v>339</v>
      </c>
      <c r="D15" t="s">
        <v>391</v>
      </c>
      <c r="E15" t="s">
        <v>118</v>
      </c>
      <c r="F15" t="s">
        <v>340</v>
      </c>
      <c r="G15" t="s">
        <v>341</v>
      </c>
      <c r="H15" t="s">
        <v>341</v>
      </c>
      <c r="I15" t="s">
        <v>341</v>
      </c>
      <c r="J15" t="s">
        <v>339</v>
      </c>
      <c r="K15" t="s">
        <v>339</v>
      </c>
      <c r="L15" t="s">
        <v>392</v>
      </c>
    </row>
    <row r="16" spans="1:12" x14ac:dyDescent="0.25">
      <c r="A16" t="s">
        <v>338</v>
      </c>
      <c r="B16" t="s">
        <v>394</v>
      </c>
      <c r="C16" t="s">
        <v>335</v>
      </c>
      <c r="D16" t="s">
        <v>395</v>
      </c>
      <c r="E16" t="s">
        <v>118</v>
      </c>
      <c r="F16" t="s">
        <v>303</v>
      </c>
      <c r="G16" t="s">
        <v>136</v>
      </c>
      <c r="H16" t="s">
        <v>378</v>
      </c>
      <c r="I16" t="s">
        <v>136</v>
      </c>
      <c r="J16" t="s">
        <v>360</v>
      </c>
      <c r="K16" t="s">
        <v>369</v>
      </c>
      <c r="L16" t="s">
        <v>396</v>
      </c>
    </row>
    <row r="17" spans="1:12" x14ac:dyDescent="0.25">
      <c r="A17" t="s">
        <v>342</v>
      </c>
      <c r="B17" t="s">
        <v>397</v>
      </c>
      <c r="C17" t="s">
        <v>332</v>
      </c>
      <c r="D17" t="s">
        <v>395</v>
      </c>
      <c r="E17" t="s">
        <v>333</v>
      </c>
      <c r="F17" t="s">
        <v>303</v>
      </c>
      <c r="G17" t="s">
        <v>166</v>
      </c>
      <c r="H17" t="s">
        <v>304</v>
      </c>
      <c r="I17" t="s">
        <v>166</v>
      </c>
      <c r="J17" t="s">
        <v>360</v>
      </c>
      <c r="K17" t="s">
        <v>369</v>
      </c>
      <c r="L17" t="s">
        <v>398</v>
      </c>
    </row>
    <row r="18" spans="1:12" x14ac:dyDescent="0.25">
      <c r="A18" t="s">
        <v>345</v>
      </c>
      <c r="B18" t="s">
        <v>399</v>
      </c>
      <c r="C18" t="s">
        <v>358</v>
      </c>
      <c r="D18" t="s">
        <v>395</v>
      </c>
      <c r="E18" t="s">
        <v>118</v>
      </c>
      <c r="F18" t="s">
        <v>303</v>
      </c>
      <c r="G18" t="s">
        <v>167</v>
      </c>
      <c r="H18" t="s">
        <v>304</v>
      </c>
      <c r="I18" t="s">
        <v>167</v>
      </c>
      <c r="J18" t="s">
        <v>360</v>
      </c>
      <c r="K18" t="s">
        <v>369</v>
      </c>
      <c r="L18" t="s">
        <v>400</v>
      </c>
    </row>
    <row r="19" spans="1:12" x14ac:dyDescent="0.25">
      <c r="A19" t="s">
        <v>348</v>
      </c>
      <c r="B19" t="s">
        <v>346</v>
      </c>
      <c r="C19" t="s">
        <v>347</v>
      </c>
      <c r="D19" t="s">
        <v>401</v>
      </c>
      <c r="E19" t="s">
        <v>118</v>
      </c>
      <c r="F19" t="s">
        <v>303</v>
      </c>
      <c r="G19" t="s">
        <v>341</v>
      </c>
      <c r="H19" t="s">
        <v>402</v>
      </c>
      <c r="I19" t="s">
        <v>341</v>
      </c>
      <c r="J19" t="s">
        <v>360</v>
      </c>
      <c r="K19" t="s">
        <v>403</v>
      </c>
      <c r="L19" t="s">
        <v>404</v>
      </c>
    </row>
    <row r="20" spans="1:12" x14ac:dyDescent="0.25">
      <c r="A20" t="s">
        <v>351</v>
      </c>
      <c r="B20" t="s">
        <v>349</v>
      </c>
      <c r="C20" t="s">
        <v>350</v>
      </c>
      <c r="D20" t="s">
        <v>405</v>
      </c>
      <c r="E20" t="s">
        <v>118</v>
      </c>
      <c r="F20" t="s">
        <v>303</v>
      </c>
      <c r="G20" t="s">
        <v>341</v>
      </c>
      <c r="H20" t="s">
        <v>402</v>
      </c>
      <c r="I20" t="s">
        <v>341</v>
      </c>
      <c r="J20" t="s">
        <v>360</v>
      </c>
      <c r="K20" t="s">
        <v>403</v>
      </c>
      <c r="L20" t="s">
        <v>406</v>
      </c>
    </row>
    <row r="21" spans="1:12" x14ac:dyDescent="0.25">
      <c r="A21" t="s">
        <v>354</v>
      </c>
      <c r="B21" t="s">
        <v>343</v>
      </c>
      <c r="C21" t="s">
        <v>344</v>
      </c>
      <c r="D21" t="s">
        <v>407</v>
      </c>
      <c r="E21" t="s">
        <v>118</v>
      </c>
      <c r="F21" t="s">
        <v>303</v>
      </c>
      <c r="G21" t="s">
        <v>341</v>
      </c>
      <c r="H21" t="s">
        <v>341</v>
      </c>
      <c r="I21" t="s">
        <v>341</v>
      </c>
      <c r="J21" t="s">
        <v>339</v>
      </c>
      <c r="K21" t="s">
        <v>339</v>
      </c>
      <c r="L21" t="s">
        <v>408</v>
      </c>
    </row>
    <row r="22" spans="1:12" x14ac:dyDescent="0.25">
      <c r="A22" t="s">
        <v>357</v>
      </c>
      <c r="B22" t="s">
        <v>409</v>
      </c>
      <c r="C22" t="s">
        <v>410</v>
      </c>
      <c r="D22" t="s">
        <v>411</v>
      </c>
      <c r="E22" t="s">
        <v>412</v>
      </c>
      <c r="F22" t="s">
        <v>303</v>
      </c>
      <c r="G22" t="s">
        <v>341</v>
      </c>
      <c r="H22" t="s">
        <v>375</v>
      </c>
      <c r="I22" t="s">
        <v>341</v>
      </c>
      <c r="J22" t="s">
        <v>360</v>
      </c>
      <c r="K22" t="s">
        <v>403</v>
      </c>
      <c r="L22" t="s">
        <v>406</v>
      </c>
    </row>
    <row r="23" spans="1:12" x14ac:dyDescent="0.25">
      <c r="B23" t="s">
        <v>413</v>
      </c>
      <c r="C23" t="s">
        <v>414</v>
      </c>
      <c r="D23" t="s">
        <v>415</v>
      </c>
      <c r="E23" t="s">
        <v>118</v>
      </c>
      <c r="F23" t="s">
        <v>303</v>
      </c>
      <c r="G23" t="s">
        <v>341</v>
      </c>
      <c r="H23" t="s">
        <v>341</v>
      </c>
      <c r="I23" t="s">
        <v>341</v>
      </c>
      <c r="J23" t="s">
        <v>339</v>
      </c>
      <c r="K23" t="s">
        <v>339</v>
      </c>
      <c r="L23" t="s">
        <v>408</v>
      </c>
    </row>
    <row r="24" spans="1:12" x14ac:dyDescent="0.25">
      <c r="B24" t="s">
        <v>416</v>
      </c>
      <c r="C24" t="s">
        <v>417</v>
      </c>
      <c r="D24" t="s">
        <v>418</v>
      </c>
      <c r="E24" t="s">
        <v>118</v>
      </c>
      <c r="F24" t="s">
        <v>303</v>
      </c>
      <c r="G24" t="s">
        <v>341</v>
      </c>
      <c r="H24" t="s">
        <v>341</v>
      </c>
      <c r="I24" t="s">
        <v>341</v>
      </c>
      <c r="J24" t="s">
        <v>339</v>
      </c>
      <c r="K24" t="s">
        <v>339</v>
      </c>
      <c r="L24" t="s">
        <v>408</v>
      </c>
    </row>
    <row r="25" spans="1:12" x14ac:dyDescent="0.25">
      <c r="B25" t="s">
        <v>419</v>
      </c>
      <c r="C25" t="s">
        <v>420</v>
      </c>
      <c r="D25" t="s">
        <v>421</v>
      </c>
      <c r="E25" t="s">
        <v>422</v>
      </c>
      <c r="F25" t="s">
        <v>303</v>
      </c>
      <c r="G25" t="s">
        <v>341</v>
      </c>
      <c r="H25" t="s">
        <v>341</v>
      </c>
      <c r="I25" t="s">
        <v>341</v>
      </c>
      <c r="J25" t="s">
        <v>339</v>
      </c>
      <c r="K25" t="s">
        <v>339</v>
      </c>
      <c r="L25" t="s">
        <v>408</v>
      </c>
    </row>
    <row r="26" spans="1:12" x14ac:dyDescent="0.25">
      <c r="B26" t="s">
        <v>423</v>
      </c>
      <c r="C26" t="s">
        <v>424</v>
      </c>
      <c r="D26" t="s">
        <v>425</v>
      </c>
      <c r="E26" t="s">
        <v>118</v>
      </c>
      <c r="F26" t="s">
        <v>303</v>
      </c>
      <c r="G26" t="s">
        <v>341</v>
      </c>
      <c r="H26" t="s">
        <v>341</v>
      </c>
      <c r="I26" t="s">
        <v>341</v>
      </c>
      <c r="J26" t="s">
        <v>339</v>
      </c>
      <c r="K26" t="s">
        <v>339</v>
      </c>
      <c r="L26" t="s">
        <v>408</v>
      </c>
    </row>
    <row r="27" spans="1:12" x14ac:dyDescent="0.25">
      <c r="B27" t="s">
        <v>352</v>
      </c>
      <c r="C27" t="s">
        <v>353</v>
      </c>
      <c r="D27" t="s">
        <v>426</v>
      </c>
      <c r="E27" t="s">
        <v>118</v>
      </c>
      <c r="F27" t="s">
        <v>303</v>
      </c>
      <c r="G27" t="s">
        <v>341</v>
      </c>
      <c r="H27" t="s">
        <v>341</v>
      </c>
      <c r="I27" t="s">
        <v>341</v>
      </c>
      <c r="J27" t="s">
        <v>339</v>
      </c>
      <c r="K27" t="s">
        <v>339</v>
      </c>
      <c r="L27" t="s">
        <v>408</v>
      </c>
    </row>
    <row r="28" spans="1:12" x14ac:dyDescent="0.25">
      <c r="B28" t="s">
        <v>427</v>
      </c>
      <c r="C28" t="s">
        <v>428</v>
      </c>
      <c r="D28" t="s">
        <v>429</v>
      </c>
      <c r="E28" t="s">
        <v>118</v>
      </c>
      <c r="F28" t="s">
        <v>303</v>
      </c>
      <c r="G28" t="s">
        <v>159</v>
      </c>
      <c r="H28" t="s">
        <v>341</v>
      </c>
      <c r="I28" t="s">
        <v>138</v>
      </c>
      <c r="J28" t="s">
        <v>360</v>
      </c>
      <c r="K28" t="s">
        <v>369</v>
      </c>
      <c r="L28" t="s">
        <v>430</v>
      </c>
    </row>
    <row r="29" spans="1:12" x14ac:dyDescent="0.25">
      <c r="B29" t="s">
        <v>431</v>
      </c>
      <c r="C29" t="s">
        <v>432</v>
      </c>
      <c r="D29" t="s">
        <v>433</v>
      </c>
      <c r="E29" t="s">
        <v>118</v>
      </c>
      <c r="F29" t="s">
        <v>303</v>
      </c>
      <c r="G29" t="s">
        <v>341</v>
      </c>
      <c r="H29" t="s">
        <v>341</v>
      </c>
      <c r="I29" t="s">
        <v>341</v>
      </c>
      <c r="J29" t="s">
        <v>339</v>
      </c>
      <c r="K29" t="s">
        <v>339</v>
      </c>
      <c r="L29" t="s">
        <v>408</v>
      </c>
    </row>
    <row r="30" spans="1:12" x14ac:dyDescent="0.25">
      <c r="B30" t="s">
        <v>434</v>
      </c>
      <c r="C30" t="s">
        <v>435</v>
      </c>
      <c r="D30" t="s">
        <v>433</v>
      </c>
      <c r="E30" t="s">
        <v>118</v>
      </c>
      <c r="F30" t="s">
        <v>303</v>
      </c>
      <c r="G30" t="s">
        <v>341</v>
      </c>
      <c r="H30" t="s">
        <v>341</v>
      </c>
      <c r="I30" t="s">
        <v>341</v>
      </c>
      <c r="J30" t="s">
        <v>339</v>
      </c>
      <c r="K30" t="s">
        <v>339</v>
      </c>
      <c r="L30" t="s">
        <v>408</v>
      </c>
    </row>
    <row r="31" spans="1:12" x14ac:dyDescent="0.25">
      <c r="B31" t="s">
        <v>355</v>
      </c>
      <c r="C31" t="s">
        <v>356</v>
      </c>
      <c r="D31" t="s">
        <v>436</v>
      </c>
      <c r="E31" t="s">
        <v>118</v>
      </c>
      <c r="F31" t="s">
        <v>303</v>
      </c>
      <c r="G31" t="s">
        <v>136</v>
      </c>
      <c r="H31" t="s">
        <v>375</v>
      </c>
      <c r="I31" t="s">
        <v>136</v>
      </c>
      <c r="J31" t="s">
        <v>360</v>
      </c>
      <c r="K31" t="s">
        <v>369</v>
      </c>
      <c r="L31" t="s">
        <v>437</v>
      </c>
    </row>
    <row r="32" spans="1:12" x14ac:dyDescent="0.25">
      <c r="B32" t="s">
        <v>438</v>
      </c>
      <c r="C32" t="s">
        <v>439</v>
      </c>
      <c r="D32" t="s">
        <v>440</v>
      </c>
      <c r="E32" t="s">
        <v>118</v>
      </c>
      <c r="F32" t="s">
        <v>303</v>
      </c>
      <c r="G32" t="s">
        <v>136</v>
      </c>
      <c r="H32" t="s">
        <v>441</v>
      </c>
      <c r="I32" t="s">
        <v>136</v>
      </c>
      <c r="J32" t="s">
        <v>360</v>
      </c>
      <c r="K32" t="s">
        <v>369</v>
      </c>
      <c r="L32" t="s">
        <v>442</v>
      </c>
    </row>
    <row r="33" spans="2:12" x14ac:dyDescent="0.25">
      <c r="B33" t="s">
        <v>443</v>
      </c>
      <c r="C33" t="s">
        <v>444</v>
      </c>
      <c r="D33" t="s">
        <v>440</v>
      </c>
      <c r="E33" t="s">
        <v>118</v>
      </c>
      <c r="F33" t="s">
        <v>303</v>
      </c>
      <c r="G33" t="s">
        <v>142</v>
      </c>
      <c r="H33" t="s">
        <v>445</v>
      </c>
      <c r="I33" t="s">
        <v>142</v>
      </c>
      <c r="J33" t="s">
        <v>360</v>
      </c>
      <c r="K33" t="s">
        <v>369</v>
      </c>
      <c r="L33" t="s">
        <v>446</v>
      </c>
    </row>
    <row r="34" spans="2:12" x14ac:dyDescent="0.25">
      <c r="B34" t="s">
        <v>447</v>
      </c>
      <c r="C34" t="s">
        <v>448</v>
      </c>
      <c r="D34" t="s">
        <v>449</v>
      </c>
      <c r="E34" t="s">
        <v>450</v>
      </c>
      <c r="F34" t="s">
        <v>303</v>
      </c>
      <c r="G34" t="s">
        <v>142</v>
      </c>
      <c r="H34" t="s">
        <v>451</v>
      </c>
      <c r="I34" t="s">
        <v>142</v>
      </c>
      <c r="J34" t="s">
        <v>360</v>
      </c>
      <c r="K34" t="s">
        <v>369</v>
      </c>
      <c r="L34" t="s">
        <v>452</v>
      </c>
    </row>
    <row r="35" spans="2:12" x14ac:dyDescent="0.25">
      <c r="B35" t="s">
        <v>453</v>
      </c>
      <c r="C35" t="s">
        <v>339</v>
      </c>
      <c r="D35" t="s">
        <v>454</v>
      </c>
      <c r="E35" t="s">
        <v>327</v>
      </c>
      <c r="F35" t="s">
        <v>340</v>
      </c>
      <c r="G35" t="s">
        <v>341</v>
      </c>
      <c r="H35" t="s">
        <v>341</v>
      </c>
      <c r="I35" t="s">
        <v>341</v>
      </c>
      <c r="J35" t="s">
        <v>339</v>
      </c>
      <c r="K35" t="s">
        <v>339</v>
      </c>
      <c r="L35" t="s">
        <v>392</v>
      </c>
    </row>
    <row r="36" spans="2:12" x14ac:dyDescent="0.25">
      <c r="B36" t="s">
        <v>455</v>
      </c>
      <c r="C36" t="s">
        <v>339</v>
      </c>
      <c r="D36" t="s">
        <v>456</v>
      </c>
      <c r="E36" t="s">
        <v>118</v>
      </c>
      <c r="F36" t="s">
        <v>340</v>
      </c>
      <c r="G36" t="s">
        <v>341</v>
      </c>
      <c r="H36" t="s">
        <v>341</v>
      </c>
      <c r="I36" t="s">
        <v>341</v>
      </c>
      <c r="J36" t="s">
        <v>339</v>
      </c>
      <c r="K36" t="s">
        <v>339</v>
      </c>
      <c r="L36" t="s">
        <v>457</v>
      </c>
    </row>
    <row r="37" spans="2:12" x14ac:dyDescent="0.25">
      <c r="B37" t="s">
        <v>458</v>
      </c>
      <c r="C37" t="s">
        <v>459</v>
      </c>
      <c r="D37" t="s">
        <v>460</v>
      </c>
      <c r="E37" t="s">
        <v>118</v>
      </c>
      <c r="F37" t="s">
        <v>303</v>
      </c>
      <c r="G37" t="s">
        <v>341</v>
      </c>
      <c r="H37" t="s">
        <v>341</v>
      </c>
      <c r="I37" t="s">
        <v>341</v>
      </c>
      <c r="J37" t="s">
        <v>339</v>
      </c>
      <c r="K37" t="s">
        <v>339</v>
      </c>
      <c r="L37" t="s">
        <v>461</v>
      </c>
    </row>
    <row r="38" spans="2:12" x14ac:dyDescent="0.25">
      <c r="B38" t="s">
        <v>462</v>
      </c>
      <c r="C38" t="s">
        <v>463</v>
      </c>
      <c r="D38" t="s">
        <v>464</v>
      </c>
      <c r="E38" t="s">
        <v>465</v>
      </c>
      <c r="F38" t="s">
        <v>303</v>
      </c>
      <c r="G38" t="s">
        <v>341</v>
      </c>
      <c r="H38" t="s">
        <v>341</v>
      </c>
      <c r="I38" t="s">
        <v>341</v>
      </c>
      <c r="J38" t="s">
        <v>339</v>
      </c>
      <c r="K38" t="s">
        <v>339</v>
      </c>
      <c r="L38" t="s">
        <v>408</v>
      </c>
    </row>
    <row r="39" spans="2:12" x14ac:dyDescent="0.25">
      <c r="B39" t="s">
        <v>466</v>
      </c>
      <c r="C39" t="s">
        <v>467</v>
      </c>
      <c r="D39" t="s">
        <v>468</v>
      </c>
      <c r="E39" t="s">
        <v>118</v>
      </c>
      <c r="F39" t="s">
        <v>303</v>
      </c>
      <c r="G39" t="s">
        <v>168</v>
      </c>
      <c r="H39" t="s">
        <v>469</v>
      </c>
      <c r="I39" t="s">
        <v>168</v>
      </c>
      <c r="J39" t="s">
        <v>360</v>
      </c>
      <c r="K39" t="s">
        <v>369</v>
      </c>
      <c r="L39" t="s">
        <v>470</v>
      </c>
    </row>
    <row r="40" spans="2:12" x14ac:dyDescent="0.25">
      <c r="B40" t="s">
        <v>471</v>
      </c>
      <c r="C40" t="s">
        <v>472</v>
      </c>
      <c r="D40" t="s">
        <v>473</v>
      </c>
      <c r="E40" t="s">
        <v>118</v>
      </c>
      <c r="F40" t="s">
        <v>303</v>
      </c>
      <c r="G40" t="s">
        <v>341</v>
      </c>
      <c r="H40" t="s">
        <v>341</v>
      </c>
      <c r="I40" t="s">
        <v>341</v>
      </c>
      <c r="J40" t="s">
        <v>339</v>
      </c>
      <c r="K40" t="s">
        <v>339</v>
      </c>
      <c r="L40" t="s">
        <v>408</v>
      </c>
    </row>
    <row r="41" spans="2:12" x14ac:dyDescent="0.25">
      <c r="B41" t="s">
        <v>474</v>
      </c>
      <c r="C41" t="s">
        <v>475</v>
      </c>
      <c r="D41" t="s">
        <v>476</v>
      </c>
      <c r="E41" t="s">
        <v>118</v>
      </c>
      <c r="F41" t="s">
        <v>303</v>
      </c>
      <c r="G41" t="s">
        <v>341</v>
      </c>
      <c r="H41" t="s">
        <v>341</v>
      </c>
      <c r="I41" t="s">
        <v>341</v>
      </c>
      <c r="J41" t="s">
        <v>339</v>
      </c>
      <c r="K41" t="s">
        <v>339</v>
      </c>
      <c r="L41" t="s">
        <v>408</v>
      </c>
    </row>
    <row r="42" spans="2:12" x14ac:dyDescent="0.25">
      <c r="B42" t="s">
        <v>477</v>
      </c>
      <c r="C42" t="s">
        <v>478</v>
      </c>
      <c r="D42" t="s">
        <v>476</v>
      </c>
      <c r="E42" t="s">
        <v>118</v>
      </c>
      <c r="F42" t="s">
        <v>303</v>
      </c>
      <c r="G42" t="s">
        <v>138</v>
      </c>
      <c r="H42" t="s">
        <v>402</v>
      </c>
      <c r="I42" t="s">
        <v>138</v>
      </c>
      <c r="J42" t="s">
        <v>360</v>
      </c>
      <c r="K42" t="s">
        <v>369</v>
      </c>
      <c r="L42" t="s">
        <v>479</v>
      </c>
    </row>
    <row r="43" spans="2:12" x14ac:dyDescent="0.25">
      <c r="B43" t="s">
        <v>480</v>
      </c>
      <c r="C43" t="s">
        <v>481</v>
      </c>
      <c r="D43" t="s">
        <v>482</v>
      </c>
      <c r="E43" t="s">
        <v>118</v>
      </c>
      <c r="F43" t="s">
        <v>303</v>
      </c>
      <c r="G43" t="s">
        <v>136</v>
      </c>
      <c r="H43" t="s">
        <v>378</v>
      </c>
      <c r="I43" t="s">
        <v>136</v>
      </c>
      <c r="J43" t="s">
        <v>360</v>
      </c>
      <c r="K43" t="s">
        <v>369</v>
      </c>
      <c r="L43" t="s">
        <v>483</v>
      </c>
    </row>
    <row r="44" spans="2:12" x14ac:dyDescent="0.25">
      <c r="B44" t="s">
        <v>484</v>
      </c>
      <c r="C44" t="s">
        <v>485</v>
      </c>
      <c r="D44" t="s">
        <v>486</v>
      </c>
      <c r="E44" t="s">
        <v>487</v>
      </c>
      <c r="F44" t="s">
        <v>303</v>
      </c>
      <c r="G44" t="s">
        <v>136</v>
      </c>
      <c r="H44" t="s">
        <v>378</v>
      </c>
      <c r="I44" t="s">
        <v>136</v>
      </c>
      <c r="J44" t="s">
        <v>360</v>
      </c>
      <c r="K44" t="s">
        <v>369</v>
      </c>
      <c r="L44" t="s">
        <v>488</v>
      </c>
    </row>
    <row r="45" spans="2:12" x14ac:dyDescent="0.25">
      <c r="B45" t="s">
        <v>489</v>
      </c>
      <c r="C45" t="s">
        <v>490</v>
      </c>
      <c r="D45" t="s">
        <v>491</v>
      </c>
      <c r="E45" t="s">
        <v>487</v>
      </c>
      <c r="F45" t="s">
        <v>303</v>
      </c>
      <c r="G45" t="s">
        <v>166</v>
      </c>
      <c r="H45" t="s">
        <v>304</v>
      </c>
      <c r="I45" t="s">
        <v>166</v>
      </c>
      <c r="J45" t="s">
        <v>360</v>
      </c>
      <c r="K45" t="s">
        <v>369</v>
      </c>
      <c r="L45" t="s">
        <v>492</v>
      </c>
    </row>
    <row r="46" spans="2:12" x14ac:dyDescent="0.25">
      <c r="B46" t="s">
        <v>493</v>
      </c>
      <c r="C46" t="s">
        <v>339</v>
      </c>
      <c r="D46" t="s">
        <v>482</v>
      </c>
      <c r="E46" t="s">
        <v>118</v>
      </c>
      <c r="F46" t="s">
        <v>340</v>
      </c>
      <c r="G46" t="s">
        <v>341</v>
      </c>
      <c r="H46" t="s">
        <v>341</v>
      </c>
      <c r="I46" t="s">
        <v>341</v>
      </c>
      <c r="J46" t="s">
        <v>339</v>
      </c>
      <c r="K46" t="s">
        <v>339</v>
      </c>
      <c r="L46" t="s">
        <v>392</v>
      </c>
    </row>
    <row r="47" spans="2:12" x14ac:dyDescent="0.25">
      <c r="B47" t="s">
        <v>494</v>
      </c>
      <c r="C47" t="s">
        <v>495</v>
      </c>
      <c r="D47" t="s">
        <v>496</v>
      </c>
      <c r="E47" t="s">
        <v>118</v>
      </c>
      <c r="F47" t="s">
        <v>303</v>
      </c>
      <c r="G47" t="s">
        <v>341</v>
      </c>
      <c r="H47" t="s">
        <v>341</v>
      </c>
      <c r="I47" t="s">
        <v>341</v>
      </c>
      <c r="J47" t="s">
        <v>339</v>
      </c>
      <c r="K47" t="s">
        <v>339</v>
      </c>
      <c r="L47" t="s">
        <v>408</v>
      </c>
    </row>
    <row r="48" spans="2:12" x14ac:dyDescent="0.25">
      <c r="B48" t="s">
        <v>497</v>
      </c>
      <c r="C48" t="s">
        <v>498</v>
      </c>
      <c r="D48" t="s">
        <v>499</v>
      </c>
      <c r="E48" t="s">
        <v>118</v>
      </c>
      <c r="F48" t="s">
        <v>303</v>
      </c>
      <c r="G48" t="s">
        <v>341</v>
      </c>
      <c r="H48" t="s">
        <v>341</v>
      </c>
      <c r="I48" t="s">
        <v>341</v>
      </c>
      <c r="J48" t="s">
        <v>339</v>
      </c>
      <c r="K48" t="s">
        <v>339</v>
      </c>
      <c r="L48" t="s">
        <v>408</v>
      </c>
    </row>
    <row r="49" spans="2:12" x14ac:dyDescent="0.25">
      <c r="B49" t="s">
        <v>500</v>
      </c>
      <c r="C49" t="s">
        <v>501</v>
      </c>
      <c r="D49" t="s">
        <v>502</v>
      </c>
      <c r="E49" t="s">
        <v>118</v>
      </c>
      <c r="F49" t="s">
        <v>303</v>
      </c>
      <c r="G49" t="s">
        <v>341</v>
      </c>
      <c r="H49" t="s">
        <v>341</v>
      </c>
      <c r="I49" t="s">
        <v>341</v>
      </c>
      <c r="J49" t="s">
        <v>339</v>
      </c>
      <c r="K49" t="s">
        <v>339</v>
      </c>
      <c r="L49" t="s">
        <v>408</v>
      </c>
    </row>
    <row r="50" spans="2:12" x14ac:dyDescent="0.25">
      <c r="B50" t="s">
        <v>503</v>
      </c>
      <c r="C50" t="s">
        <v>504</v>
      </c>
      <c r="D50" t="s">
        <v>502</v>
      </c>
      <c r="E50" t="s">
        <v>118</v>
      </c>
      <c r="F50" t="s">
        <v>303</v>
      </c>
      <c r="G50" t="s">
        <v>341</v>
      </c>
      <c r="H50" t="s">
        <v>341</v>
      </c>
      <c r="I50" t="s">
        <v>341</v>
      </c>
      <c r="J50" t="s">
        <v>339</v>
      </c>
      <c r="K50" t="s">
        <v>339</v>
      </c>
      <c r="L50" t="s">
        <v>408</v>
      </c>
    </row>
    <row r="51" spans="2:12" x14ac:dyDescent="0.25">
      <c r="B51" t="s">
        <v>505</v>
      </c>
      <c r="C51" t="s">
        <v>506</v>
      </c>
      <c r="D51" t="s">
        <v>507</v>
      </c>
      <c r="E51" t="s">
        <v>118</v>
      </c>
      <c r="F51" t="s">
        <v>303</v>
      </c>
      <c r="G51" t="s">
        <v>167</v>
      </c>
      <c r="H51" t="s">
        <v>310</v>
      </c>
      <c r="I51" t="s">
        <v>166</v>
      </c>
      <c r="J51" t="s">
        <v>360</v>
      </c>
      <c r="K51" t="s">
        <v>369</v>
      </c>
      <c r="L51" t="s">
        <v>508</v>
      </c>
    </row>
    <row r="52" spans="2:12" x14ac:dyDescent="0.25">
      <c r="B52" t="s">
        <v>509</v>
      </c>
      <c r="C52" t="s">
        <v>510</v>
      </c>
      <c r="D52" t="s">
        <v>507</v>
      </c>
      <c r="E52" t="s">
        <v>116</v>
      </c>
      <c r="F52" t="s">
        <v>303</v>
      </c>
      <c r="G52" t="s">
        <v>167</v>
      </c>
      <c r="H52" t="s">
        <v>511</v>
      </c>
      <c r="I52" t="s">
        <v>166</v>
      </c>
      <c r="J52" t="s">
        <v>360</v>
      </c>
      <c r="K52" t="s">
        <v>369</v>
      </c>
      <c r="L52" t="s">
        <v>512</v>
      </c>
    </row>
    <row r="53" spans="2:12" x14ac:dyDescent="0.25">
      <c r="B53" t="s">
        <v>513</v>
      </c>
      <c r="C53" t="s">
        <v>514</v>
      </c>
      <c r="D53" t="s">
        <v>507</v>
      </c>
      <c r="E53" t="s">
        <v>116</v>
      </c>
      <c r="F53" t="s">
        <v>303</v>
      </c>
      <c r="G53" t="s">
        <v>141</v>
      </c>
      <c r="H53" t="s">
        <v>304</v>
      </c>
      <c r="I53" t="s">
        <v>167</v>
      </c>
      <c r="J53" t="s">
        <v>360</v>
      </c>
      <c r="K53" t="s">
        <v>369</v>
      </c>
      <c r="L53" t="s">
        <v>515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46F-97DF-418D-BA9A-611C36FE992D}">
  <sheetPr codeName="Sheet3"/>
  <dimension ref="A1:AQ116"/>
  <sheetViews>
    <sheetView zoomScale="50" zoomScaleNormal="50" workbookViewId="0">
      <selection activeCell="N72" sqref="N72"/>
    </sheetView>
  </sheetViews>
  <sheetFormatPr defaultRowHeight="15" x14ac:dyDescent="0.25"/>
  <cols>
    <col min="1" max="1" width="24.140625" bestFit="1" customWidth="1"/>
    <col min="2" max="2" width="25" bestFit="1" customWidth="1"/>
    <col min="3" max="3" width="40.42578125" bestFit="1" customWidth="1"/>
    <col min="4" max="4" width="23.5703125" bestFit="1" customWidth="1"/>
    <col min="5" max="5" width="28.7109375" bestFit="1" customWidth="1"/>
    <col min="6" max="6" width="27.5703125" bestFit="1" customWidth="1"/>
    <col min="7" max="7" width="27.28515625" bestFit="1" customWidth="1"/>
    <col min="8" max="8" width="29.5703125" bestFit="1" customWidth="1"/>
    <col min="9" max="9" width="40.42578125" bestFit="1" customWidth="1"/>
    <col min="10" max="10" width="32.7109375" bestFit="1" customWidth="1"/>
    <col min="11" max="11" width="29" bestFit="1" customWidth="1"/>
    <col min="12" max="12" width="37.28515625" bestFit="1" customWidth="1"/>
    <col min="13" max="13" width="29.28515625" bestFit="1" customWidth="1"/>
    <col min="14" max="14" width="37.28515625" bestFit="1" customWidth="1"/>
    <col min="15" max="15" width="14.7109375" bestFit="1" customWidth="1"/>
    <col min="16" max="16" width="15.5703125" bestFit="1" customWidth="1"/>
    <col min="17" max="17" width="20.42578125" bestFit="1" customWidth="1"/>
    <col min="18" max="18" width="37.5703125" bestFit="1" customWidth="1"/>
    <col min="19" max="19" width="21.28515625" bestFit="1" customWidth="1"/>
    <col min="20" max="20" width="13.7109375" bestFit="1" customWidth="1"/>
    <col min="33" max="33" width="13.42578125" bestFit="1" customWidth="1"/>
    <col min="34" max="34" width="7.7109375" bestFit="1" customWidth="1"/>
    <col min="35" max="35" width="11.28515625" bestFit="1" customWidth="1"/>
    <col min="36" max="36" width="7" bestFit="1" customWidth="1"/>
    <col min="39" max="39" width="35.85546875" bestFit="1" customWidth="1"/>
    <col min="40" max="40" width="18" bestFit="1" customWidth="1"/>
    <col min="41" max="41" width="5.140625" bestFit="1" customWidth="1"/>
    <col min="42" max="42" width="40.85546875" bestFit="1" customWidth="1"/>
    <col min="43" max="44" width="7" bestFit="1" customWidth="1"/>
  </cols>
  <sheetData>
    <row r="1" spans="1:14" ht="15.75" x14ac:dyDescent="0.25">
      <c r="A1" s="103" t="s">
        <v>143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42"/>
    </row>
    <row r="2" spans="1:14" x14ac:dyDescent="0.25">
      <c r="A2" s="106" t="s">
        <v>112</v>
      </c>
      <c r="B2" s="106" t="s">
        <v>144</v>
      </c>
      <c r="C2" s="106" t="s">
        <v>145</v>
      </c>
      <c r="D2" s="106" t="s">
        <v>146</v>
      </c>
      <c r="E2" s="106" t="s">
        <v>130</v>
      </c>
      <c r="F2" s="106" t="s">
        <v>131</v>
      </c>
      <c r="G2" s="106" t="s">
        <v>132</v>
      </c>
      <c r="H2" s="106" t="s">
        <v>133</v>
      </c>
      <c r="I2" s="106" t="s">
        <v>147</v>
      </c>
      <c r="J2" s="106" t="s">
        <v>148</v>
      </c>
      <c r="K2" s="106" t="s">
        <v>134</v>
      </c>
      <c r="L2" s="106" t="s">
        <v>135</v>
      </c>
      <c r="M2" s="106" t="s">
        <v>287</v>
      </c>
      <c r="N2" s="139"/>
    </row>
    <row r="3" spans="1:14" x14ac:dyDescent="0.25">
      <c r="A3" s="105" t="s">
        <v>116</v>
      </c>
      <c r="B3" s="105" t="s">
        <v>149</v>
      </c>
      <c r="C3" s="105" t="s">
        <v>150</v>
      </c>
      <c r="D3" s="128">
        <v>0</v>
      </c>
      <c r="E3" s="105" t="s">
        <v>136</v>
      </c>
      <c r="F3" s="107">
        <v>1.4</v>
      </c>
      <c r="G3" s="119">
        <v>0.7</v>
      </c>
      <c r="H3" s="117">
        <v>30</v>
      </c>
      <c r="I3" s="117">
        <v>3</v>
      </c>
      <c r="J3" s="105" t="s">
        <v>151</v>
      </c>
      <c r="K3" s="105" t="s">
        <v>136</v>
      </c>
      <c r="L3" s="105" t="s">
        <v>152</v>
      </c>
      <c r="M3" s="134" t="str">
        <f>UPPER(TRIM(REPO_Rules[[#This Row],[Jurisdiction]])) &amp; "|" &amp; UPPER(TRIM(REPO_Rules[[#This Row],[StructureType]]))</f>
        <v>UK|FULLY AMORTISING</v>
      </c>
      <c r="N3" s="140"/>
    </row>
    <row r="4" spans="1:14" x14ac:dyDescent="0.25">
      <c r="A4" s="104" t="s">
        <v>116</v>
      </c>
      <c r="B4" s="104" t="s">
        <v>153</v>
      </c>
      <c r="C4" s="104" t="s">
        <v>150</v>
      </c>
      <c r="D4" s="129">
        <v>0.3</v>
      </c>
      <c r="E4" s="104" t="s">
        <v>136</v>
      </c>
      <c r="F4" s="108">
        <v>1.45</v>
      </c>
      <c r="G4" s="120">
        <v>0.68</v>
      </c>
      <c r="H4" s="118">
        <v>25</v>
      </c>
      <c r="I4" s="118">
        <v>3</v>
      </c>
      <c r="J4" s="104" t="s">
        <v>151</v>
      </c>
      <c r="K4" s="104" t="s">
        <v>138</v>
      </c>
      <c r="L4" s="104" t="s">
        <v>154</v>
      </c>
      <c r="M4" s="134" t="str">
        <f>UPPER(TRIM(REPO_Rules[[#This Row],[Jurisdiction]])) &amp; "|" &amp; UPPER(TRIM(REPO_Rules[[#This Row],[StructureType]]))</f>
        <v>UK|PARTIALLY AMORTISING</v>
      </c>
      <c r="N4" s="141"/>
    </row>
    <row r="5" spans="1:14" x14ac:dyDescent="0.25">
      <c r="A5" s="105" t="s">
        <v>116</v>
      </c>
      <c r="B5" s="105" t="s">
        <v>155</v>
      </c>
      <c r="C5" s="105" t="s">
        <v>156</v>
      </c>
      <c r="D5" s="128">
        <v>0</v>
      </c>
      <c r="E5" s="105" t="s">
        <v>136</v>
      </c>
      <c r="F5" s="107">
        <v>1.6</v>
      </c>
      <c r="G5" s="119">
        <v>0.6</v>
      </c>
      <c r="H5" s="117">
        <v>20</v>
      </c>
      <c r="I5" s="117">
        <v>6</v>
      </c>
      <c r="J5" s="105" t="s">
        <v>151</v>
      </c>
      <c r="K5" s="105" t="s">
        <v>138</v>
      </c>
      <c r="L5" s="105" t="s">
        <v>157</v>
      </c>
      <c r="M5" s="134" t="str">
        <f>UPPER(TRIM(REPO_Rules[[#This Row],[Jurisdiction]])) &amp; "|" &amp; UPPER(TRIM(REPO_Rules[[#This Row],[StructureType]]))</f>
        <v>UK|BULLET</v>
      </c>
      <c r="N5" s="141"/>
    </row>
    <row r="6" spans="1:14" x14ac:dyDescent="0.25">
      <c r="A6" s="104" t="s">
        <v>117</v>
      </c>
      <c r="B6" s="104" t="s">
        <v>149</v>
      </c>
      <c r="C6" s="104" t="s">
        <v>150</v>
      </c>
      <c r="D6" s="129">
        <v>0</v>
      </c>
      <c r="E6" s="104" t="s">
        <v>138</v>
      </c>
      <c r="F6" s="108">
        <v>1.3</v>
      </c>
      <c r="G6" s="120">
        <v>0.75</v>
      </c>
      <c r="H6" s="118">
        <v>25</v>
      </c>
      <c r="I6" s="118">
        <v>3</v>
      </c>
      <c r="J6" s="104" t="s">
        <v>151</v>
      </c>
      <c r="K6" s="104" t="s">
        <v>138</v>
      </c>
      <c r="L6" s="104" t="s">
        <v>158</v>
      </c>
      <c r="M6" s="134" t="str">
        <f>UPPER(TRIM(REPO_Rules[[#This Row],[Jurisdiction]])) &amp; "|" &amp; UPPER(TRIM(REPO_Rules[[#This Row],[StructureType]]))</f>
        <v>EU|FULLY AMORTISING</v>
      </c>
      <c r="N6" s="141"/>
    </row>
    <row r="7" spans="1:14" x14ac:dyDescent="0.25">
      <c r="A7" s="105" t="s">
        <v>117</v>
      </c>
      <c r="B7" s="105" t="s">
        <v>153</v>
      </c>
      <c r="C7" s="105" t="s">
        <v>150</v>
      </c>
      <c r="D7" s="128">
        <v>0.3</v>
      </c>
      <c r="E7" s="105" t="s">
        <v>138</v>
      </c>
      <c r="F7" s="107">
        <v>1.35</v>
      </c>
      <c r="G7" s="119">
        <v>0.73</v>
      </c>
      <c r="H7" s="117">
        <v>20</v>
      </c>
      <c r="I7" s="117">
        <v>3</v>
      </c>
      <c r="J7" s="105" t="s">
        <v>151</v>
      </c>
      <c r="K7" s="105" t="s">
        <v>159</v>
      </c>
      <c r="L7" s="105" t="s">
        <v>154</v>
      </c>
      <c r="M7" s="134" t="str">
        <f>UPPER(TRIM(REPO_Rules[[#This Row],[Jurisdiction]])) &amp; "|" &amp; UPPER(TRIM(REPO_Rules[[#This Row],[StructureType]]))</f>
        <v>EU|PARTIALLY AMORTISING</v>
      </c>
      <c r="N7" s="141"/>
    </row>
    <row r="8" spans="1:14" x14ac:dyDescent="0.25">
      <c r="A8" s="104" t="s">
        <v>117</v>
      </c>
      <c r="B8" s="104" t="s">
        <v>155</v>
      </c>
      <c r="C8" s="104" t="s">
        <v>156</v>
      </c>
      <c r="D8" s="129">
        <v>0</v>
      </c>
      <c r="E8" s="104" t="s">
        <v>138</v>
      </c>
      <c r="F8" s="108">
        <v>1.55</v>
      </c>
      <c r="G8" s="120">
        <v>0.57999999999999996</v>
      </c>
      <c r="H8" s="118">
        <v>15</v>
      </c>
      <c r="I8" s="118">
        <v>6</v>
      </c>
      <c r="J8" s="104" t="s">
        <v>151</v>
      </c>
      <c r="K8" s="104" t="s">
        <v>159</v>
      </c>
      <c r="L8" s="104" t="s">
        <v>157</v>
      </c>
      <c r="M8" s="134" t="str">
        <f>UPPER(TRIM(REPO_Rules[[#This Row],[Jurisdiction]])) &amp; "|" &amp; UPPER(TRIM(REPO_Rules[[#This Row],[StructureType]]))</f>
        <v>EU|BULLET</v>
      </c>
      <c r="N8" s="141"/>
    </row>
    <row r="9" spans="1:14" x14ac:dyDescent="0.25">
      <c r="A9" s="105" t="s">
        <v>140</v>
      </c>
      <c r="B9" s="105" t="s">
        <v>149</v>
      </c>
      <c r="C9" s="105" t="s">
        <v>150</v>
      </c>
      <c r="D9" s="128">
        <v>0</v>
      </c>
      <c r="E9" s="105" t="s">
        <v>141</v>
      </c>
      <c r="F9" s="107">
        <v>1.5</v>
      </c>
      <c r="G9" s="119">
        <v>0.65</v>
      </c>
      <c r="H9" s="117">
        <v>30</v>
      </c>
      <c r="I9" s="117">
        <v>3</v>
      </c>
      <c r="J9" s="105" t="s">
        <v>151</v>
      </c>
      <c r="K9" s="105" t="s">
        <v>136</v>
      </c>
      <c r="L9" s="105" t="s">
        <v>160</v>
      </c>
      <c r="M9" s="134" t="str">
        <f>UPPER(TRIM(REPO_Rules[[#This Row],[Jurisdiction]])) &amp; "|" &amp; UPPER(TRIM(REPO_Rules[[#This Row],[StructureType]]))</f>
        <v>US|FULLY AMORTISING</v>
      </c>
      <c r="N9" s="141"/>
    </row>
    <row r="10" spans="1:14" x14ac:dyDescent="0.25">
      <c r="A10" s="104" t="s">
        <v>140</v>
      </c>
      <c r="B10" s="104" t="s">
        <v>153</v>
      </c>
      <c r="C10" s="104" t="s">
        <v>150</v>
      </c>
      <c r="D10" s="129">
        <v>0.3</v>
      </c>
      <c r="E10" s="104" t="s">
        <v>141</v>
      </c>
      <c r="F10" s="108">
        <v>1.55</v>
      </c>
      <c r="G10" s="120">
        <v>0.63</v>
      </c>
      <c r="H10" s="118">
        <v>25</v>
      </c>
      <c r="I10" s="118">
        <v>3</v>
      </c>
      <c r="J10" s="104" t="s">
        <v>151</v>
      </c>
      <c r="K10" s="104" t="s">
        <v>138</v>
      </c>
      <c r="L10" s="104" t="s">
        <v>154</v>
      </c>
      <c r="M10" s="134" t="str">
        <f>UPPER(TRIM(REPO_Rules[[#This Row],[Jurisdiction]])) &amp; "|" &amp; UPPER(TRIM(REPO_Rules[[#This Row],[StructureType]]))</f>
        <v>US|PARTIALLY AMORTISING</v>
      </c>
      <c r="N10" s="141"/>
    </row>
    <row r="11" spans="1:14" x14ac:dyDescent="0.25">
      <c r="A11" s="105" t="s">
        <v>140</v>
      </c>
      <c r="B11" s="105" t="s">
        <v>155</v>
      </c>
      <c r="C11" s="105" t="s">
        <v>156</v>
      </c>
      <c r="D11" s="128">
        <v>0</v>
      </c>
      <c r="E11" s="105" t="s">
        <v>141</v>
      </c>
      <c r="F11" s="107">
        <v>1.65</v>
      </c>
      <c r="G11" s="119">
        <v>0.6</v>
      </c>
      <c r="H11" s="117">
        <v>20</v>
      </c>
      <c r="I11" s="117">
        <v>6</v>
      </c>
      <c r="J11" s="105" t="s">
        <v>151</v>
      </c>
      <c r="K11" s="105" t="s">
        <v>138</v>
      </c>
      <c r="L11" s="105" t="s">
        <v>157</v>
      </c>
      <c r="M11" s="134" t="str">
        <f>UPPER(TRIM(REPO_Rules[[#This Row],[Jurisdiction]])) &amp; "|" &amp; UPPER(TRIM(REPO_Rules[[#This Row],[StructureType]]))</f>
        <v>US|BULLET</v>
      </c>
      <c r="N11" s="141"/>
    </row>
    <row r="12" spans="1:14" x14ac:dyDescent="0.25">
      <c r="A12" s="105"/>
      <c r="B12" s="105"/>
      <c r="C12" s="105"/>
      <c r="D12" s="105"/>
      <c r="E12" s="105"/>
      <c r="F12" s="107"/>
      <c r="G12" s="119"/>
      <c r="H12" s="117"/>
      <c r="I12" s="117"/>
      <c r="J12" s="105"/>
      <c r="K12" s="105"/>
      <c r="L12" s="105"/>
    </row>
    <row r="15" spans="1:14" ht="15.75" thickBot="1" x14ac:dyDescent="0.3"/>
    <row r="16" spans="1:14" ht="15.75" x14ac:dyDescent="0.25">
      <c r="A16" s="143" t="s">
        <v>177</v>
      </c>
      <c r="B16" s="144"/>
      <c r="C16" s="145" t="s">
        <v>235</v>
      </c>
      <c r="D16" s="146"/>
      <c r="E16" s="145" t="s">
        <v>249</v>
      </c>
      <c r="F16" s="146"/>
      <c r="G16" s="145" t="s">
        <v>250</v>
      </c>
      <c r="H16" s="146"/>
      <c r="I16" s="145" t="s">
        <v>246</v>
      </c>
      <c r="J16" s="147"/>
      <c r="K16" s="147"/>
      <c r="L16" s="147"/>
      <c r="M16" s="146"/>
    </row>
    <row r="17" spans="1:18" x14ac:dyDescent="0.25">
      <c r="A17" s="121" t="s">
        <v>161</v>
      </c>
      <c r="B17" s="123" t="s">
        <v>162</v>
      </c>
      <c r="C17" s="135" t="s">
        <v>233</v>
      </c>
      <c r="D17" s="136" t="s">
        <v>234</v>
      </c>
      <c r="E17" s="135" t="s">
        <v>247</v>
      </c>
      <c r="F17" s="136" t="s">
        <v>248</v>
      </c>
      <c r="G17" s="135" t="s">
        <v>248</v>
      </c>
      <c r="H17" s="136" t="s">
        <v>247</v>
      </c>
      <c r="I17" s="83" t="s">
        <v>236</v>
      </c>
      <c r="J17" s="84" t="s">
        <v>179</v>
      </c>
      <c r="K17" s="84" t="s">
        <v>237</v>
      </c>
      <c r="L17" s="84" t="s">
        <v>238</v>
      </c>
      <c r="M17" s="85" t="s">
        <v>239</v>
      </c>
      <c r="N17" t="s">
        <v>135</v>
      </c>
    </row>
    <row r="18" spans="1:18" x14ac:dyDescent="0.25">
      <c r="A18" s="122" t="s">
        <v>163</v>
      </c>
      <c r="B18" s="124">
        <v>100</v>
      </c>
      <c r="C18" s="135">
        <v>95</v>
      </c>
      <c r="D18" s="136" t="s">
        <v>163</v>
      </c>
      <c r="E18" s="135" t="s">
        <v>163</v>
      </c>
      <c r="F18" s="136">
        <v>21</v>
      </c>
      <c r="G18" s="135">
        <v>21</v>
      </c>
      <c r="H18" s="136" t="s">
        <v>163</v>
      </c>
      <c r="I18" s="83" t="s">
        <v>144</v>
      </c>
      <c r="J18" s="84" t="s">
        <v>240</v>
      </c>
      <c r="K18" s="84">
        <v>-2</v>
      </c>
      <c r="L18" s="84">
        <v>-2</v>
      </c>
      <c r="M18" s="85">
        <v>-2</v>
      </c>
      <c r="N18" t="s">
        <v>241</v>
      </c>
    </row>
    <row r="19" spans="1:18" x14ac:dyDescent="0.25">
      <c r="A19" s="122" t="s">
        <v>164</v>
      </c>
      <c r="B19" s="124">
        <v>97</v>
      </c>
      <c r="C19" s="135">
        <v>90</v>
      </c>
      <c r="D19" s="136" t="s">
        <v>164</v>
      </c>
      <c r="E19" s="135" t="s">
        <v>164</v>
      </c>
      <c r="F19" s="136">
        <v>20</v>
      </c>
      <c r="G19" s="135">
        <v>20</v>
      </c>
      <c r="H19" s="136" t="s">
        <v>164</v>
      </c>
      <c r="I19" s="83" t="s">
        <v>144</v>
      </c>
      <c r="J19" s="84" t="s">
        <v>153</v>
      </c>
      <c r="K19" s="84">
        <v>0</v>
      </c>
      <c r="L19" s="84">
        <v>0</v>
      </c>
      <c r="M19" s="85">
        <v>0</v>
      </c>
    </row>
    <row r="20" spans="1:18" x14ac:dyDescent="0.25">
      <c r="A20" s="122" t="s">
        <v>165</v>
      </c>
      <c r="B20" s="124">
        <v>95</v>
      </c>
      <c r="C20" s="135">
        <v>87</v>
      </c>
      <c r="D20" s="136" t="s">
        <v>165</v>
      </c>
      <c r="E20" s="135" t="s">
        <v>165</v>
      </c>
      <c r="F20" s="136">
        <v>19</v>
      </c>
      <c r="G20" s="135">
        <v>19</v>
      </c>
      <c r="H20" s="136" t="s">
        <v>165</v>
      </c>
      <c r="I20" s="83" t="s">
        <v>190</v>
      </c>
      <c r="J20" s="84" t="s">
        <v>194</v>
      </c>
      <c r="K20" s="84">
        <v>-1</v>
      </c>
      <c r="L20" s="84">
        <v>-1</v>
      </c>
      <c r="M20" s="85">
        <v>-1</v>
      </c>
      <c r="N20" t="s">
        <v>242</v>
      </c>
    </row>
    <row r="21" spans="1:18" x14ac:dyDescent="0.25">
      <c r="A21" s="122" t="s">
        <v>166</v>
      </c>
      <c r="B21" s="124">
        <v>93</v>
      </c>
      <c r="C21" s="135">
        <v>84</v>
      </c>
      <c r="D21" s="136" t="s">
        <v>166</v>
      </c>
      <c r="E21" s="135" t="s">
        <v>166</v>
      </c>
      <c r="F21" s="136">
        <v>18</v>
      </c>
      <c r="G21" s="135">
        <v>18</v>
      </c>
      <c r="H21" s="136" t="s">
        <v>166</v>
      </c>
      <c r="I21" s="83" t="s">
        <v>195</v>
      </c>
      <c r="J21" s="84" t="s">
        <v>199</v>
      </c>
      <c r="K21" s="84">
        <v>-1</v>
      </c>
      <c r="L21" s="84">
        <v>-2</v>
      </c>
      <c r="M21" s="85">
        <v>-1</v>
      </c>
    </row>
    <row r="22" spans="1:18" x14ac:dyDescent="0.25">
      <c r="A22" s="122" t="s">
        <v>167</v>
      </c>
      <c r="B22" s="124">
        <v>90</v>
      </c>
      <c r="C22" s="135">
        <v>81</v>
      </c>
      <c r="D22" s="136" t="s">
        <v>167</v>
      </c>
      <c r="E22" s="135" t="s">
        <v>167</v>
      </c>
      <c r="F22" s="136">
        <v>17</v>
      </c>
      <c r="G22" s="135">
        <v>17</v>
      </c>
      <c r="H22" s="136" t="s">
        <v>167</v>
      </c>
      <c r="I22" s="83" t="s">
        <v>195</v>
      </c>
      <c r="J22" s="84" t="s">
        <v>198</v>
      </c>
      <c r="K22" s="84">
        <v>0</v>
      </c>
      <c r="L22" s="84">
        <v>-1</v>
      </c>
      <c r="M22" s="85">
        <v>0</v>
      </c>
    </row>
    <row r="23" spans="1:18" x14ac:dyDescent="0.25">
      <c r="A23" s="122" t="s">
        <v>141</v>
      </c>
      <c r="B23" s="124">
        <v>88</v>
      </c>
      <c r="C23" s="135">
        <v>78</v>
      </c>
      <c r="D23" s="136" t="s">
        <v>141</v>
      </c>
      <c r="E23" s="135" t="s">
        <v>141</v>
      </c>
      <c r="F23" s="136">
        <v>16</v>
      </c>
      <c r="G23" s="135">
        <v>16</v>
      </c>
      <c r="H23" s="136" t="s">
        <v>141</v>
      </c>
      <c r="I23" s="83" t="s">
        <v>208</v>
      </c>
      <c r="J23" s="84" t="s">
        <v>243</v>
      </c>
      <c r="K23" s="84">
        <v>-1</v>
      </c>
      <c r="L23" s="84">
        <v>-1</v>
      </c>
      <c r="M23" s="85">
        <v>-1</v>
      </c>
    </row>
    <row r="24" spans="1:18" x14ac:dyDescent="0.25">
      <c r="A24" s="122" t="s">
        <v>136</v>
      </c>
      <c r="B24" s="124">
        <v>86</v>
      </c>
      <c r="C24" s="135">
        <v>75</v>
      </c>
      <c r="D24" s="136" t="s">
        <v>136</v>
      </c>
      <c r="E24" s="135" t="s">
        <v>136</v>
      </c>
      <c r="F24" s="136">
        <v>15</v>
      </c>
      <c r="G24" s="135">
        <v>15</v>
      </c>
      <c r="H24" s="136" t="s">
        <v>136</v>
      </c>
      <c r="I24" s="83" t="s">
        <v>217</v>
      </c>
      <c r="J24" s="84" t="s">
        <v>220</v>
      </c>
      <c r="K24" s="84">
        <v>-1</v>
      </c>
      <c r="L24" s="84">
        <v>-1</v>
      </c>
      <c r="M24" s="85">
        <v>-1</v>
      </c>
    </row>
    <row r="25" spans="1:18" x14ac:dyDescent="0.25">
      <c r="A25" s="122" t="s">
        <v>138</v>
      </c>
      <c r="B25" s="124">
        <v>83</v>
      </c>
      <c r="C25" s="135">
        <v>72</v>
      </c>
      <c r="D25" s="136" t="s">
        <v>138</v>
      </c>
      <c r="E25" s="135" t="s">
        <v>138</v>
      </c>
      <c r="F25" s="136">
        <v>14</v>
      </c>
      <c r="G25" s="135">
        <v>14</v>
      </c>
      <c r="H25" s="136" t="s">
        <v>138</v>
      </c>
      <c r="I25" s="83" t="s">
        <v>221</v>
      </c>
      <c r="J25" s="84" t="s">
        <v>244</v>
      </c>
      <c r="K25" s="84">
        <v>-2</v>
      </c>
      <c r="L25" s="84">
        <v>-2</v>
      </c>
      <c r="M25" s="85">
        <v>-2</v>
      </c>
      <c r="N25" t="s">
        <v>245</v>
      </c>
    </row>
    <row r="26" spans="1:18" ht="15.75" thickBot="1" x14ac:dyDescent="0.3">
      <c r="A26" s="122" t="s">
        <v>159</v>
      </c>
      <c r="B26" s="124">
        <v>80</v>
      </c>
      <c r="C26" s="135">
        <v>69</v>
      </c>
      <c r="D26" s="136" t="s">
        <v>159</v>
      </c>
      <c r="E26" s="135" t="s">
        <v>159</v>
      </c>
      <c r="F26" s="136">
        <v>13</v>
      </c>
      <c r="G26" s="135">
        <v>13</v>
      </c>
      <c r="H26" s="136" t="s">
        <v>159</v>
      </c>
      <c r="I26" s="87" t="s">
        <v>226</v>
      </c>
      <c r="J26" s="88" t="s">
        <v>228</v>
      </c>
      <c r="K26" s="88">
        <v>-1</v>
      </c>
      <c r="L26" s="88">
        <v>-1</v>
      </c>
      <c r="M26" s="127">
        <v>-1</v>
      </c>
    </row>
    <row r="27" spans="1:18" ht="15.75" thickBot="1" x14ac:dyDescent="0.3">
      <c r="A27" s="122" t="s">
        <v>168</v>
      </c>
      <c r="B27" s="124">
        <v>77</v>
      </c>
      <c r="C27" s="135">
        <v>66</v>
      </c>
      <c r="D27" s="136" t="s">
        <v>168</v>
      </c>
      <c r="E27" s="135" t="s">
        <v>168</v>
      </c>
      <c r="F27" s="136">
        <v>12</v>
      </c>
      <c r="G27" s="135">
        <v>12</v>
      </c>
      <c r="H27" s="136" t="s">
        <v>168</v>
      </c>
    </row>
    <row r="28" spans="1:18" ht="15.75" x14ac:dyDescent="0.25">
      <c r="A28" s="122" t="s">
        <v>142</v>
      </c>
      <c r="B28" s="124">
        <v>73</v>
      </c>
      <c r="C28" s="135">
        <v>63</v>
      </c>
      <c r="D28" s="136" t="s">
        <v>142</v>
      </c>
      <c r="E28" s="135" t="s">
        <v>142</v>
      </c>
      <c r="F28" s="136">
        <v>11</v>
      </c>
      <c r="G28" s="135">
        <v>11</v>
      </c>
      <c r="H28" s="136" t="s">
        <v>142</v>
      </c>
      <c r="I28" s="145" t="s">
        <v>275</v>
      </c>
      <c r="J28" s="147"/>
      <c r="K28" s="147"/>
      <c r="L28" s="147"/>
      <c r="M28" s="147"/>
      <c r="N28" s="147"/>
      <c r="O28" s="147"/>
      <c r="P28" s="147"/>
      <c r="Q28" s="146"/>
    </row>
    <row r="29" spans="1:18" x14ac:dyDescent="0.25">
      <c r="A29" s="122" t="s">
        <v>139</v>
      </c>
      <c r="B29" s="124">
        <v>70</v>
      </c>
      <c r="C29" s="135">
        <v>60</v>
      </c>
      <c r="D29" s="136" t="s">
        <v>139</v>
      </c>
      <c r="E29" s="135" t="s">
        <v>139</v>
      </c>
      <c r="F29" s="136">
        <v>10</v>
      </c>
      <c r="G29" s="135">
        <v>10</v>
      </c>
      <c r="H29" s="136" t="s">
        <v>139</v>
      </c>
      <c r="I29" s="83" t="s">
        <v>230</v>
      </c>
      <c r="J29" s="84" t="s">
        <v>251</v>
      </c>
      <c r="K29" s="84" t="s">
        <v>252</v>
      </c>
      <c r="L29" s="84" t="s">
        <v>253</v>
      </c>
      <c r="M29" s="84" t="s">
        <v>254</v>
      </c>
      <c r="N29" s="84" t="s">
        <v>255</v>
      </c>
      <c r="O29" s="84" t="s">
        <v>256</v>
      </c>
      <c r="P29" s="84" t="s">
        <v>257</v>
      </c>
      <c r="Q29" s="85" t="s">
        <v>258</v>
      </c>
      <c r="R29" t="s">
        <v>135</v>
      </c>
    </row>
    <row r="30" spans="1:18" x14ac:dyDescent="0.25">
      <c r="A30" s="122" t="s">
        <v>169</v>
      </c>
      <c r="B30" s="124">
        <v>67</v>
      </c>
      <c r="C30" s="135">
        <v>57</v>
      </c>
      <c r="D30" s="136" t="s">
        <v>169</v>
      </c>
      <c r="E30" s="135" t="s">
        <v>169</v>
      </c>
      <c r="F30" s="136">
        <v>9</v>
      </c>
      <c r="G30" s="135">
        <v>9</v>
      </c>
      <c r="H30" s="136" t="s">
        <v>169</v>
      </c>
      <c r="I30" s="83" t="s">
        <v>183</v>
      </c>
      <c r="J30" s="84" t="s">
        <v>259</v>
      </c>
      <c r="K30" s="84" t="s">
        <v>144</v>
      </c>
      <c r="L30" s="84" t="s">
        <v>260</v>
      </c>
      <c r="M30" s="84" t="s">
        <v>155</v>
      </c>
      <c r="N30" s="84" t="s">
        <v>204</v>
      </c>
      <c r="O30" s="84" t="s">
        <v>260</v>
      </c>
      <c r="P30" s="84" t="s">
        <v>207</v>
      </c>
      <c r="Q30" s="85" t="s">
        <v>141</v>
      </c>
      <c r="R30" t="s">
        <v>261</v>
      </c>
    </row>
    <row r="31" spans="1:18" x14ac:dyDescent="0.25">
      <c r="A31" s="122" t="s">
        <v>137</v>
      </c>
      <c r="B31" s="124">
        <v>63</v>
      </c>
      <c r="C31" s="135">
        <v>54</v>
      </c>
      <c r="D31" s="136" t="s">
        <v>137</v>
      </c>
      <c r="E31" s="135" t="s">
        <v>137</v>
      </c>
      <c r="F31" s="136">
        <v>8</v>
      </c>
      <c r="G31" s="135">
        <v>8</v>
      </c>
      <c r="H31" s="136" t="s">
        <v>137</v>
      </c>
      <c r="I31" s="83" t="s">
        <v>183</v>
      </c>
      <c r="J31" s="84" t="s">
        <v>262</v>
      </c>
      <c r="K31" s="84" t="s">
        <v>186</v>
      </c>
      <c r="L31" s="84" t="s">
        <v>263</v>
      </c>
      <c r="M31" s="154">
        <v>30</v>
      </c>
      <c r="N31" s="84" t="s">
        <v>185</v>
      </c>
      <c r="O31" s="84" t="s">
        <v>263</v>
      </c>
      <c r="P31" s="130">
        <v>0.7</v>
      </c>
      <c r="Q31" s="85" t="s">
        <v>138</v>
      </c>
      <c r="R31" t="s">
        <v>264</v>
      </c>
    </row>
    <row r="32" spans="1:18" x14ac:dyDescent="0.25">
      <c r="A32" s="122" t="s">
        <v>170</v>
      </c>
      <c r="B32" s="124">
        <v>60</v>
      </c>
      <c r="C32" s="135">
        <v>51</v>
      </c>
      <c r="D32" s="136" t="s">
        <v>170</v>
      </c>
      <c r="E32" s="135" t="s">
        <v>170</v>
      </c>
      <c r="F32" s="136">
        <v>7</v>
      </c>
      <c r="G32" s="135">
        <v>7</v>
      </c>
      <c r="H32" s="136" t="s">
        <v>170</v>
      </c>
      <c r="I32" s="83" t="s">
        <v>183</v>
      </c>
      <c r="J32" s="84" t="s">
        <v>265</v>
      </c>
      <c r="K32" s="84" t="s">
        <v>182</v>
      </c>
      <c r="L32" s="84" t="s">
        <v>266</v>
      </c>
      <c r="M32" s="153">
        <v>1.2</v>
      </c>
      <c r="N32" s="84"/>
      <c r="O32" s="84"/>
      <c r="P32" s="84"/>
      <c r="Q32" s="85" t="s">
        <v>142</v>
      </c>
      <c r="R32" t="s">
        <v>267</v>
      </c>
    </row>
    <row r="33" spans="1:43" x14ac:dyDescent="0.25">
      <c r="A33" s="122" t="s">
        <v>171</v>
      </c>
      <c r="B33" s="124">
        <v>57</v>
      </c>
      <c r="C33" s="135">
        <v>48</v>
      </c>
      <c r="D33" s="136" t="s">
        <v>171</v>
      </c>
      <c r="E33" s="135" t="s">
        <v>171</v>
      </c>
      <c r="F33" s="136">
        <v>6</v>
      </c>
      <c r="G33" s="135">
        <v>6</v>
      </c>
      <c r="H33" s="136" t="s">
        <v>171</v>
      </c>
      <c r="I33" s="83" t="s">
        <v>184</v>
      </c>
      <c r="J33" s="84" t="s">
        <v>268</v>
      </c>
      <c r="K33" s="84" t="s">
        <v>185</v>
      </c>
      <c r="L33" s="84" t="s">
        <v>263</v>
      </c>
      <c r="M33" s="130">
        <v>0.9</v>
      </c>
      <c r="N33" s="84"/>
      <c r="O33" s="84"/>
      <c r="P33" s="84"/>
      <c r="Q33" s="85" t="s">
        <v>170</v>
      </c>
      <c r="R33" t="s">
        <v>269</v>
      </c>
    </row>
    <row r="34" spans="1:43" x14ac:dyDescent="0.25">
      <c r="A34" s="122" t="s">
        <v>172</v>
      </c>
      <c r="B34" s="124">
        <v>53</v>
      </c>
      <c r="C34" s="135">
        <v>45</v>
      </c>
      <c r="D34" s="136" t="s">
        <v>172</v>
      </c>
      <c r="E34" s="135" t="s">
        <v>172</v>
      </c>
      <c r="F34" s="136">
        <v>5</v>
      </c>
      <c r="G34" s="135">
        <v>5</v>
      </c>
      <c r="H34" s="136" t="s">
        <v>172</v>
      </c>
      <c r="I34" s="83" t="s">
        <v>184</v>
      </c>
      <c r="J34" s="84" t="s">
        <v>265</v>
      </c>
      <c r="K34" s="84" t="s">
        <v>182</v>
      </c>
      <c r="L34" s="84" t="s">
        <v>266</v>
      </c>
      <c r="M34" s="153">
        <v>0.95</v>
      </c>
      <c r="N34" s="84"/>
      <c r="O34" s="84"/>
      <c r="P34" s="84"/>
      <c r="Q34" s="85" t="s">
        <v>172</v>
      </c>
      <c r="R34" t="s">
        <v>270</v>
      </c>
    </row>
    <row r="35" spans="1:43" x14ac:dyDescent="0.25">
      <c r="A35" s="122" t="s">
        <v>173</v>
      </c>
      <c r="B35" s="124">
        <v>50</v>
      </c>
      <c r="C35" s="135">
        <v>42</v>
      </c>
      <c r="D35" s="136" t="s">
        <v>173</v>
      </c>
      <c r="E35" s="135" t="s">
        <v>173</v>
      </c>
      <c r="F35" s="136">
        <v>4</v>
      </c>
      <c r="G35" s="135">
        <v>4</v>
      </c>
      <c r="H35" s="136" t="s">
        <v>173</v>
      </c>
      <c r="I35" s="83" t="s">
        <v>187</v>
      </c>
      <c r="J35" s="84" t="s">
        <v>271</v>
      </c>
      <c r="K35" s="84" t="s">
        <v>217</v>
      </c>
      <c r="L35" s="84" t="s">
        <v>260</v>
      </c>
      <c r="M35" s="84" t="s">
        <v>220</v>
      </c>
      <c r="N35" s="84"/>
      <c r="O35" s="84"/>
      <c r="P35" s="84"/>
      <c r="Q35" s="85" t="s">
        <v>159</v>
      </c>
      <c r="R35" t="s">
        <v>272</v>
      </c>
    </row>
    <row r="36" spans="1:43" ht="15.75" thickBot="1" x14ac:dyDescent="0.3">
      <c r="A36" s="122" t="s">
        <v>174</v>
      </c>
      <c r="B36" s="124">
        <v>47</v>
      </c>
      <c r="C36" s="135">
        <v>39</v>
      </c>
      <c r="D36" s="136" t="s">
        <v>174</v>
      </c>
      <c r="E36" s="135" t="s">
        <v>174</v>
      </c>
      <c r="F36" s="136">
        <v>3</v>
      </c>
      <c r="G36" s="135">
        <v>3</v>
      </c>
      <c r="H36" s="136" t="s">
        <v>174</v>
      </c>
      <c r="I36" s="87" t="s">
        <v>187</v>
      </c>
      <c r="J36" s="88" t="s">
        <v>273</v>
      </c>
      <c r="K36" s="88" t="s">
        <v>221</v>
      </c>
      <c r="L36" s="88" t="s">
        <v>260</v>
      </c>
      <c r="M36" s="88" t="s">
        <v>225</v>
      </c>
      <c r="N36" s="88"/>
      <c r="O36" s="88"/>
      <c r="P36" s="88"/>
      <c r="Q36" s="127" t="s">
        <v>139</v>
      </c>
      <c r="R36" t="s">
        <v>274</v>
      </c>
    </row>
    <row r="37" spans="1:43" x14ac:dyDescent="0.25">
      <c r="A37" s="122" t="s">
        <v>175</v>
      </c>
      <c r="B37" s="124">
        <v>40</v>
      </c>
      <c r="C37" s="135">
        <v>35</v>
      </c>
      <c r="D37" s="136" t="s">
        <v>175</v>
      </c>
      <c r="E37" s="135" t="s">
        <v>175</v>
      </c>
      <c r="F37" s="136">
        <v>2</v>
      </c>
      <c r="G37" s="135">
        <v>2</v>
      </c>
      <c r="H37" s="136" t="s">
        <v>175</v>
      </c>
    </row>
    <row r="38" spans="1:43" ht="15.75" thickBot="1" x14ac:dyDescent="0.3">
      <c r="A38" s="125" t="s">
        <v>176</v>
      </c>
      <c r="B38" s="126">
        <v>30</v>
      </c>
      <c r="C38" s="137">
        <v>0</v>
      </c>
      <c r="D38" s="138" t="s">
        <v>176</v>
      </c>
      <c r="E38" s="137" t="s">
        <v>176</v>
      </c>
      <c r="F38" s="138">
        <v>1</v>
      </c>
      <c r="G38" s="137">
        <v>1</v>
      </c>
      <c r="H38" s="138" t="s">
        <v>176</v>
      </c>
    </row>
    <row r="39" spans="1:43" ht="15.75" thickBot="1" x14ac:dyDescent="0.3"/>
    <row r="40" spans="1:43" ht="15.75" x14ac:dyDescent="0.25">
      <c r="A40" s="145" t="s">
        <v>281</v>
      </c>
      <c r="B40" s="147"/>
      <c r="C40" s="147"/>
      <c r="D40" s="147"/>
      <c r="E40" s="147"/>
      <c r="F40" s="146"/>
      <c r="G40" s="145" t="s">
        <v>282</v>
      </c>
      <c r="H40" s="147"/>
      <c r="I40" s="147"/>
      <c r="J40" s="147"/>
      <c r="K40" s="147"/>
      <c r="L40" s="146"/>
      <c r="M40" s="145" t="s">
        <v>283</v>
      </c>
      <c r="N40" s="147"/>
      <c r="O40" s="147"/>
      <c r="P40" s="147"/>
      <c r="Q40" s="147"/>
      <c r="R40" s="146"/>
    </row>
    <row r="41" spans="1:43" x14ac:dyDescent="0.25">
      <c r="A41" s="83" t="s">
        <v>276</v>
      </c>
      <c r="B41" s="84" t="s">
        <v>277</v>
      </c>
      <c r="C41" s="84" t="s">
        <v>278</v>
      </c>
      <c r="D41" s="84" t="s">
        <v>279</v>
      </c>
      <c r="E41" s="84" t="s">
        <v>144</v>
      </c>
      <c r="F41" s="85" t="s">
        <v>280</v>
      </c>
      <c r="G41" s="83" t="s">
        <v>276</v>
      </c>
      <c r="H41" s="84" t="s">
        <v>277</v>
      </c>
      <c r="I41" s="84" t="s">
        <v>278</v>
      </c>
      <c r="J41" s="84" t="s">
        <v>279</v>
      </c>
      <c r="K41" s="84" t="s">
        <v>144</v>
      </c>
      <c r="L41" s="85" t="s">
        <v>280</v>
      </c>
      <c r="M41" s="83" t="s">
        <v>276</v>
      </c>
      <c r="N41" s="84" t="s">
        <v>277</v>
      </c>
      <c r="O41" s="84" t="s">
        <v>278</v>
      </c>
      <c r="P41" s="84" t="s">
        <v>279</v>
      </c>
      <c r="Q41" s="84" t="s">
        <v>144</v>
      </c>
      <c r="R41" s="85" t="s">
        <v>280</v>
      </c>
    </row>
    <row r="42" spans="1:43" x14ac:dyDescent="0.25">
      <c r="A42" s="151">
        <v>2</v>
      </c>
      <c r="B42" s="84" t="s">
        <v>166</v>
      </c>
      <c r="C42" s="130">
        <v>0.5</v>
      </c>
      <c r="D42" s="84">
        <v>25</v>
      </c>
      <c r="E42" s="84" t="s">
        <v>149</v>
      </c>
      <c r="F42" s="85" t="s">
        <v>163</v>
      </c>
      <c r="G42" s="151">
        <v>1.95</v>
      </c>
      <c r="H42" s="84" t="s">
        <v>166</v>
      </c>
      <c r="I42" s="130">
        <v>0.52</v>
      </c>
      <c r="J42" s="84">
        <v>25</v>
      </c>
      <c r="K42" s="84" t="s">
        <v>149</v>
      </c>
      <c r="L42" s="85" t="s">
        <v>163</v>
      </c>
      <c r="M42" s="151">
        <v>2.0499999999999998</v>
      </c>
      <c r="N42" s="84" t="s">
        <v>166</v>
      </c>
      <c r="O42" s="130">
        <v>0.5</v>
      </c>
      <c r="P42" s="84">
        <v>30</v>
      </c>
      <c r="Q42" s="84" t="s">
        <v>149</v>
      </c>
      <c r="R42" s="85" t="s">
        <v>163</v>
      </c>
    </row>
    <row r="43" spans="1:43" x14ac:dyDescent="0.25">
      <c r="A43" s="151">
        <v>1.8</v>
      </c>
      <c r="B43" s="84" t="s">
        <v>167</v>
      </c>
      <c r="C43" s="130">
        <v>0.55000000000000004</v>
      </c>
      <c r="D43" s="84">
        <v>25</v>
      </c>
      <c r="E43" s="84" t="s">
        <v>149</v>
      </c>
      <c r="F43" s="85" t="s">
        <v>165</v>
      </c>
      <c r="G43" s="151">
        <v>1.75</v>
      </c>
      <c r="H43" s="84" t="s">
        <v>167</v>
      </c>
      <c r="I43" s="130">
        <v>0.56999999999999995</v>
      </c>
      <c r="J43" s="84">
        <v>25</v>
      </c>
      <c r="K43" s="84" t="s">
        <v>149</v>
      </c>
      <c r="L43" s="85" t="s">
        <v>165</v>
      </c>
      <c r="M43" s="151">
        <v>1.85</v>
      </c>
      <c r="N43" s="84" t="s">
        <v>167</v>
      </c>
      <c r="O43" s="130">
        <v>0.55000000000000004</v>
      </c>
      <c r="P43" s="84">
        <v>30</v>
      </c>
      <c r="Q43" s="84" t="s">
        <v>149</v>
      </c>
      <c r="R43" s="85" t="s">
        <v>165</v>
      </c>
    </row>
    <row r="44" spans="1:43" x14ac:dyDescent="0.25">
      <c r="A44" s="151">
        <v>1.6</v>
      </c>
      <c r="B44" s="84" t="s">
        <v>141</v>
      </c>
      <c r="C44" s="130">
        <v>0.6</v>
      </c>
      <c r="D44" s="84">
        <v>25</v>
      </c>
      <c r="E44" s="84" t="s">
        <v>149</v>
      </c>
      <c r="F44" s="85" t="s">
        <v>141</v>
      </c>
      <c r="G44" s="151">
        <v>1.55</v>
      </c>
      <c r="H44" s="84" t="s">
        <v>141</v>
      </c>
      <c r="I44" s="130">
        <v>0.62</v>
      </c>
      <c r="J44" s="84">
        <v>25</v>
      </c>
      <c r="K44" s="84" t="s">
        <v>149</v>
      </c>
      <c r="L44" s="85" t="s">
        <v>141</v>
      </c>
      <c r="M44" s="151">
        <v>1.65</v>
      </c>
      <c r="N44" s="84" t="s">
        <v>141</v>
      </c>
      <c r="O44" s="130">
        <v>0.6</v>
      </c>
      <c r="P44" s="84">
        <v>25</v>
      </c>
      <c r="Q44" s="84" t="s">
        <v>149</v>
      </c>
      <c r="R44" s="85" t="s">
        <v>141</v>
      </c>
    </row>
    <row r="45" spans="1:43" x14ac:dyDescent="0.25">
      <c r="A45" s="151">
        <v>1.45</v>
      </c>
      <c r="B45" s="84" t="s">
        <v>138</v>
      </c>
      <c r="C45" s="130">
        <v>0.65</v>
      </c>
      <c r="D45" s="84">
        <v>20</v>
      </c>
      <c r="E45" s="84" t="s">
        <v>153</v>
      </c>
      <c r="F45" s="85" t="s">
        <v>138</v>
      </c>
      <c r="G45" s="151">
        <v>1.4</v>
      </c>
      <c r="H45" s="84" t="s">
        <v>138</v>
      </c>
      <c r="I45" s="130">
        <v>0.67</v>
      </c>
      <c r="J45" s="84">
        <v>20</v>
      </c>
      <c r="K45" s="84" t="s">
        <v>153</v>
      </c>
      <c r="L45" s="85" t="s">
        <v>138</v>
      </c>
      <c r="M45" s="151">
        <v>1.5</v>
      </c>
      <c r="N45" s="84" t="s">
        <v>138</v>
      </c>
      <c r="O45" s="130">
        <v>0.63</v>
      </c>
      <c r="P45" s="84">
        <v>25</v>
      </c>
      <c r="Q45" s="84" t="s">
        <v>153</v>
      </c>
      <c r="R45" s="85" t="s">
        <v>138</v>
      </c>
    </row>
    <row r="46" spans="1:43" x14ac:dyDescent="0.25">
      <c r="A46" s="151">
        <v>1.35</v>
      </c>
      <c r="B46" s="84" t="s">
        <v>159</v>
      </c>
      <c r="C46" s="130">
        <v>0.7</v>
      </c>
      <c r="D46" s="84">
        <v>20</v>
      </c>
      <c r="E46" s="84" t="s">
        <v>153</v>
      </c>
      <c r="F46" s="85" t="s">
        <v>159</v>
      </c>
      <c r="G46" s="151">
        <v>1.3</v>
      </c>
      <c r="H46" s="84" t="s">
        <v>159</v>
      </c>
      <c r="I46" s="130">
        <v>0.73</v>
      </c>
      <c r="J46" s="84">
        <v>20</v>
      </c>
      <c r="K46" s="84" t="s">
        <v>153</v>
      </c>
      <c r="L46" s="85" t="s">
        <v>159</v>
      </c>
      <c r="M46" s="151">
        <v>1.4</v>
      </c>
      <c r="N46" s="84" t="s">
        <v>159</v>
      </c>
      <c r="O46" s="130">
        <v>0.65</v>
      </c>
      <c r="P46" s="84">
        <v>20</v>
      </c>
      <c r="Q46" s="84" t="s">
        <v>153</v>
      </c>
      <c r="R46" s="85" t="s">
        <v>159</v>
      </c>
    </row>
    <row r="47" spans="1:43" x14ac:dyDescent="0.25">
      <c r="A47" s="151">
        <v>1.25</v>
      </c>
      <c r="B47" s="84" t="s">
        <v>168</v>
      </c>
      <c r="C47" s="130">
        <v>0.7</v>
      </c>
      <c r="D47" s="84">
        <v>15</v>
      </c>
      <c r="E47" s="84" t="s">
        <v>155</v>
      </c>
      <c r="F47" s="85" t="s">
        <v>142</v>
      </c>
      <c r="G47" s="151">
        <v>1.2</v>
      </c>
      <c r="H47" s="84" t="s">
        <v>168</v>
      </c>
      <c r="I47" s="130">
        <v>0.65</v>
      </c>
      <c r="J47" s="84">
        <v>15</v>
      </c>
      <c r="K47" s="84" t="s">
        <v>155</v>
      </c>
      <c r="L47" s="85" t="s">
        <v>142</v>
      </c>
      <c r="M47" s="151">
        <v>1.3</v>
      </c>
      <c r="N47" s="84" t="s">
        <v>168</v>
      </c>
      <c r="O47" s="130">
        <v>0.6</v>
      </c>
      <c r="P47" s="84">
        <v>20</v>
      </c>
      <c r="Q47" s="84" t="s">
        <v>155</v>
      </c>
      <c r="R47" s="85" t="s">
        <v>142</v>
      </c>
    </row>
    <row r="48" spans="1:43" ht="15.75" thickBot="1" x14ac:dyDescent="0.3">
      <c r="A48" s="152">
        <v>1.1000000000000001</v>
      </c>
      <c r="B48" s="88" t="s">
        <v>142</v>
      </c>
      <c r="C48" s="131">
        <v>0.75</v>
      </c>
      <c r="D48" s="88">
        <v>15</v>
      </c>
      <c r="E48" s="88" t="s">
        <v>155</v>
      </c>
      <c r="F48" s="127" t="s">
        <v>170</v>
      </c>
      <c r="G48" s="152">
        <v>1.05</v>
      </c>
      <c r="H48" s="88" t="s">
        <v>142</v>
      </c>
      <c r="I48" s="131">
        <v>0.7</v>
      </c>
      <c r="J48" s="88">
        <v>15</v>
      </c>
      <c r="K48" s="88" t="s">
        <v>155</v>
      </c>
      <c r="L48" s="127" t="s">
        <v>170</v>
      </c>
      <c r="M48" s="152">
        <v>1.1499999999999999</v>
      </c>
      <c r="N48" s="88" t="s">
        <v>142</v>
      </c>
      <c r="O48" s="131">
        <v>0.65</v>
      </c>
      <c r="P48" s="88">
        <v>15</v>
      </c>
      <c r="Q48" s="88" t="s">
        <v>155</v>
      </c>
      <c r="R48" s="127" t="s">
        <v>170</v>
      </c>
      <c r="AN48" s="84"/>
      <c r="AO48" s="84"/>
      <c r="AP48" s="84"/>
      <c r="AQ48" s="84"/>
    </row>
    <row r="49" spans="1:43" ht="15.75" thickBot="1" x14ac:dyDescent="0.3">
      <c r="AN49" s="84"/>
      <c r="AO49" s="84"/>
      <c r="AP49" s="84"/>
      <c r="AQ49" s="84"/>
    </row>
    <row r="50" spans="1:43" ht="15.75" x14ac:dyDescent="0.25">
      <c r="A50" s="145" t="s">
        <v>284</v>
      </c>
      <c r="B50" s="147"/>
      <c r="C50" s="147"/>
      <c r="D50" s="147"/>
      <c r="E50" s="147"/>
      <c r="F50" s="146"/>
      <c r="G50" s="145" t="s">
        <v>285</v>
      </c>
      <c r="H50" s="147"/>
      <c r="I50" s="147"/>
      <c r="J50" s="147"/>
      <c r="K50" s="147"/>
      <c r="L50" s="146"/>
      <c r="M50" s="145" t="s">
        <v>286</v>
      </c>
      <c r="N50" s="147"/>
      <c r="O50" s="147"/>
      <c r="P50" s="147"/>
      <c r="Q50" s="147"/>
      <c r="R50" s="146"/>
      <c r="AN50" s="84"/>
      <c r="AO50" s="84"/>
      <c r="AP50" s="84"/>
      <c r="AQ50" s="84"/>
    </row>
    <row r="51" spans="1:43" x14ac:dyDescent="0.25">
      <c r="A51" s="83" t="s">
        <v>276</v>
      </c>
      <c r="B51" s="84" t="s">
        <v>277</v>
      </c>
      <c r="C51" s="84" t="s">
        <v>278</v>
      </c>
      <c r="D51" s="84" t="s">
        <v>279</v>
      </c>
      <c r="E51" s="84" t="s">
        <v>144</v>
      </c>
      <c r="F51" s="85" t="s">
        <v>280</v>
      </c>
      <c r="G51" s="83" t="s">
        <v>276</v>
      </c>
      <c r="H51" s="84" t="s">
        <v>277</v>
      </c>
      <c r="I51" s="84" t="s">
        <v>278</v>
      </c>
      <c r="J51" s="84" t="s">
        <v>279</v>
      </c>
      <c r="K51" s="84" t="s">
        <v>144</v>
      </c>
      <c r="L51" s="85" t="s">
        <v>280</v>
      </c>
      <c r="M51" s="83" t="s">
        <v>276</v>
      </c>
      <c r="N51" s="84" t="s">
        <v>277</v>
      </c>
      <c r="O51" s="84" t="s">
        <v>278</v>
      </c>
      <c r="P51" s="84" t="s">
        <v>279</v>
      </c>
      <c r="Q51" s="84" t="s">
        <v>144</v>
      </c>
      <c r="R51" s="85" t="s">
        <v>280</v>
      </c>
      <c r="AN51" s="84"/>
      <c r="AO51" s="84"/>
      <c r="AP51" s="84"/>
      <c r="AQ51" s="84"/>
    </row>
    <row r="52" spans="1:43" x14ac:dyDescent="0.25">
      <c r="A52" s="151">
        <v>1.8</v>
      </c>
      <c r="B52" s="84" t="s">
        <v>167</v>
      </c>
      <c r="C52" s="130">
        <v>0.65</v>
      </c>
      <c r="D52" s="84">
        <v>25</v>
      </c>
      <c r="E52" s="84" t="s">
        <v>149</v>
      </c>
      <c r="F52" s="85" t="s">
        <v>163</v>
      </c>
      <c r="G52" s="151">
        <v>1.7</v>
      </c>
      <c r="H52" s="84" t="s">
        <v>167</v>
      </c>
      <c r="I52" s="130">
        <v>0.68</v>
      </c>
      <c r="J52" s="84">
        <v>25</v>
      </c>
      <c r="K52" s="84" t="s">
        <v>149</v>
      </c>
      <c r="L52" s="85" t="s">
        <v>163</v>
      </c>
      <c r="M52" s="151">
        <v>1.85</v>
      </c>
      <c r="N52" s="84" t="s">
        <v>167</v>
      </c>
      <c r="O52" s="130">
        <v>0.63</v>
      </c>
      <c r="P52" s="84">
        <v>30</v>
      </c>
      <c r="Q52" s="84" t="s">
        <v>149</v>
      </c>
      <c r="R52" s="85" t="s">
        <v>163</v>
      </c>
      <c r="AN52" s="84"/>
      <c r="AO52" s="84"/>
      <c r="AP52" s="84"/>
      <c r="AQ52" s="84"/>
    </row>
    <row r="53" spans="1:43" x14ac:dyDescent="0.25">
      <c r="A53" s="151">
        <v>1.6</v>
      </c>
      <c r="B53" s="84" t="s">
        <v>141</v>
      </c>
      <c r="C53" s="130">
        <v>0.7</v>
      </c>
      <c r="D53" s="84">
        <v>25</v>
      </c>
      <c r="E53" s="84" t="s">
        <v>149</v>
      </c>
      <c r="F53" s="85" t="s">
        <v>165</v>
      </c>
      <c r="G53" s="151">
        <v>1.55</v>
      </c>
      <c r="H53" s="84" t="s">
        <v>141</v>
      </c>
      <c r="I53" s="130">
        <v>0.72</v>
      </c>
      <c r="J53" s="84">
        <v>25</v>
      </c>
      <c r="K53" s="84" t="s">
        <v>149</v>
      </c>
      <c r="L53" s="85" t="s">
        <v>165</v>
      </c>
      <c r="M53" s="151">
        <v>1.65</v>
      </c>
      <c r="N53" s="84" t="s">
        <v>141</v>
      </c>
      <c r="O53" s="130">
        <v>0.68</v>
      </c>
      <c r="P53" s="84">
        <v>25</v>
      </c>
      <c r="Q53" s="84" t="s">
        <v>149</v>
      </c>
      <c r="R53" s="85" t="s">
        <v>165</v>
      </c>
      <c r="AN53" s="84"/>
      <c r="AO53" s="84"/>
      <c r="AP53" s="84"/>
      <c r="AQ53" s="84"/>
    </row>
    <row r="54" spans="1:43" x14ac:dyDescent="0.25">
      <c r="A54" s="151">
        <v>1.4</v>
      </c>
      <c r="B54" s="84" t="s">
        <v>138</v>
      </c>
      <c r="C54" s="130">
        <v>0.75</v>
      </c>
      <c r="D54" s="84">
        <v>25</v>
      </c>
      <c r="E54" s="84" t="s">
        <v>153</v>
      </c>
      <c r="F54" s="85" t="s">
        <v>141</v>
      </c>
      <c r="G54" s="151">
        <v>1.35</v>
      </c>
      <c r="H54" s="84" t="s">
        <v>138</v>
      </c>
      <c r="I54" s="130">
        <v>0.78</v>
      </c>
      <c r="J54" s="84">
        <v>20</v>
      </c>
      <c r="K54" s="84" t="s">
        <v>153</v>
      </c>
      <c r="L54" s="85" t="s">
        <v>141</v>
      </c>
      <c r="M54" s="151">
        <v>1.45</v>
      </c>
      <c r="N54" s="84" t="s">
        <v>138</v>
      </c>
      <c r="O54" s="130">
        <v>0.73</v>
      </c>
      <c r="P54" s="84">
        <v>25</v>
      </c>
      <c r="Q54" s="84" t="s">
        <v>153</v>
      </c>
      <c r="R54" s="85" t="s">
        <v>141</v>
      </c>
      <c r="AN54" s="84"/>
      <c r="AO54" s="84"/>
      <c r="AP54" s="84"/>
      <c r="AQ54" s="84"/>
    </row>
    <row r="55" spans="1:43" x14ac:dyDescent="0.25">
      <c r="A55" s="151">
        <v>1.25</v>
      </c>
      <c r="B55" s="84" t="s">
        <v>159</v>
      </c>
      <c r="C55" s="130">
        <v>0.8</v>
      </c>
      <c r="D55" s="84">
        <v>20</v>
      </c>
      <c r="E55" s="84" t="s">
        <v>153</v>
      </c>
      <c r="F55" s="85" t="s">
        <v>159</v>
      </c>
      <c r="G55" s="151">
        <v>1.2</v>
      </c>
      <c r="H55" s="84" t="s">
        <v>159</v>
      </c>
      <c r="I55" s="130">
        <v>0.83</v>
      </c>
      <c r="J55" s="84">
        <v>20</v>
      </c>
      <c r="K55" s="84" t="s">
        <v>153</v>
      </c>
      <c r="L55" s="85" t="s">
        <v>159</v>
      </c>
      <c r="M55" s="151">
        <v>1.3</v>
      </c>
      <c r="N55" s="84" t="s">
        <v>159</v>
      </c>
      <c r="O55" s="130">
        <v>0.78</v>
      </c>
      <c r="P55" s="84">
        <v>20</v>
      </c>
      <c r="Q55" s="84" t="s">
        <v>153</v>
      </c>
      <c r="R55" s="85" t="s">
        <v>159</v>
      </c>
      <c r="AN55" s="84"/>
      <c r="AO55" s="84"/>
      <c r="AP55" s="84"/>
      <c r="AQ55" s="84"/>
    </row>
    <row r="56" spans="1:43" x14ac:dyDescent="0.25">
      <c r="A56" s="151">
        <v>1.1000000000000001</v>
      </c>
      <c r="B56" s="84" t="s">
        <v>142</v>
      </c>
      <c r="C56" s="130">
        <v>0.85</v>
      </c>
      <c r="D56" s="84">
        <v>15</v>
      </c>
      <c r="E56" s="84" t="s">
        <v>155</v>
      </c>
      <c r="F56" s="85" t="s">
        <v>139</v>
      </c>
      <c r="G56" s="151">
        <v>1.05</v>
      </c>
      <c r="H56" s="84" t="s">
        <v>142</v>
      </c>
      <c r="I56" s="130">
        <v>0.88</v>
      </c>
      <c r="J56" s="84">
        <v>15</v>
      </c>
      <c r="K56" s="84" t="s">
        <v>155</v>
      </c>
      <c r="L56" s="85" t="s">
        <v>139</v>
      </c>
      <c r="M56" s="151">
        <v>1.1499999999999999</v>
      </c>
      <c r="N56" s="84" t="s">
        <v>142</v>
      </c>
      <c r="O56" s="130">
        <v>0.83</v>
      </c>
      <c r="P56" s="84">
        <v>15</v>
      </c>
      <c r="Q56" s="84" t="s">
        <v>155</v>
      </c>
      <c r="R56" s="85" t="s">
        <v>139</v>
      </c>
      <c r="AN56" s="84"/>
      <c r="AO56" s="84"/>
      <c r="AP56" s="84"/>
      <c r="AQ56" s="84"/>
    </row>
    <row r="57" spans="1:43" x14ac:dyDescent="0.25">
      <c r="A57" s="151">
        <v>1</v>
      </c>
      <c r="B57" s="84" t="s">
        <v>139</v>
      </c>
      <c r="C57" s="130">
        <v>0.9</v>
      </c>
      <c r="D57" s="84">
        <v>15</v>
      </c>
      <c r="E57" s="84" t="s">
        <v>155</v>
      </c>
      <c r="F57" s="85" t="s">
        <v>170</v>
      </c>
      <c r="G57" s="151">
        <v>0.98</v>
      </c>
      <c r="H57" s="84" t="s">
        <v>139</v>
      </c>
      <c r="I57" s="130">
        <v>0.92</v>
      </c>
      <c r="J57" s="84">
        <v>15</v>
      </c>
      <c r="K57" s="84" t="s">
        <v>155</v>
      </c>
      <c r="L57" s="85" t="s">
        <v>170</v>
      </c>
      <c r="M57" s="151">
        <v>1.05</v>
      </c>
      <c r="N57" s="84" t="s">
        <v>139</v>
      </c>
      <c r="O57" s="130">
        <v>0.88</v>
      </c>
      <c r="P57" s="84">
        <v>15</v>
      </c>
      <c r="Q57" s="84" t="s">
        <v>155</v>
      </c>
      <c r="R57" s="85" t="s">
        <v>170</v>
      </c>
      <c r="AN57" s="84"/>
      <c r="AO57" s="84"/>
      <c r="AP57" s="84"/>
      <c r="AQ57" s="84"/>
    </row>
    <row r="58" spans="1:43" x14ac:dyDescent="0.25">
      <c r="A58" s="151">
        <v>0.95</v>
      </c>
      <c r="B58" s="84" t="s">
        <v>137</v>
      </c>
      <c r="C58" s="130">
        <v>0.95</v>
      </c>
      <c r="D58" s="84">
        <v>10</v>
      </c>
      <c r="E58" s="84" t="s">
        <v>155</v>
      </c>
      <c r="F58" s="85" t="s">
        <v>173</v>
      </c>
      <c r="G58" s="151">
        <v>0.93</v>
      </c>
      <c r="H58" s="84" t="s">
        <v>137</v>
      </c>
      <c r="I58" s="130">
        <v>0.95</v>
      </c>
      <c r="J58" s="84">
        <v>10</v>
      </c>
      <c r="K58" s="84" t="s">
        <v>155</v>
      </c>
      <c r="L58" s="85" t="s">
        <v>173</v>
      </c>
      <c r="M58" s="151">
        <v>0.98</v>
      </c>
      <c r="N58" s="84" t="s">
        <v>137</v>
      </c>
      <c r="O58" s="130">
        <v>0.92</v>
      </c>
      <c r="P58" s="84">
        <v>10</v>
      </c>
      <c r="Q58" s="84" t="s">
        <v>155</v>
      </c>
      <c r="R58" s="85" t="s">
        <v>173</v>
      </c>
      <c r="AN58" s="84"/>
      <c r="AO58" s="84"/>
      <c r="AP58" s="84"/>
      <c r="AQ58" s="84"/>
    </row>
    <row r="59" spans="1:43" x14ac:dyDescent="0.25">
      <c r="A59" s="151">
        <v>0.9</v>
      </c>
      <c r="B59" s="84" t="s">
        <v>170</v>
      </c>
      <c r="C59" s="130">
        <v>0.95</v>
      </c>
      <c r="D59" s="84">
        <v>10</v>
      </c>
      <c r="E59" s="84" t="s">
        <v>155</v>
      </c>
      <c r="F59" s="85" t="s">
        <v>175</v>
      </c>
      <c r="G59" s="151">
        <v>0.88</v>
      </c>
      <c r="H59" s="84" t="s">
        <v>170</v>
      </c>
      <c r="I59" s="130">
        <v>0.95</v>
      </c>
      <c r="J59" s="84">
        <v>10</v>
      </c>
      <c r="K59" s="84" t="s">
        <v>155</v>
      </c>
      <c r="L59" s="85" t="s">
        <v>175</v>
      </c>
      <c r="M59" s="151">
        <v>0.93</v>
      </c>
      <c r="N59" s="84" t="s">
        <v>170</v>
      </c>
      <c r="O59" s="130">
        <v>0.95</v>
      </c>
      <c r="P59" s="84">
        <v>10</v>
      </c>
      <c r="Q59" s="84" t="s">
        <v>155</v>
      </c>
      <c r="R59" s="85" t="s">
        <v>175</v>
      </c>
      <c r="AN59" s="84"/>
      <c r="AO59" s="84"/>
      <c r="AP59" s="84"/>
      <c r="AQ59" s="84"/>
    </row>
    <row r="60" spans="1:43" ht="15.75" thickBot="1" x14ac:dyDescent="0.3">
      <c r="A60" s="152">
        <v>0.85</v>
      </c>
      <c r="B60" s="88" t="s">
        <v>171</v>
      </c>
      <c r="C60" s="131">
        <v>1</v>
      </c>
      <c r="D60" s="88">
        <v>10</v>
      </c>
      <c r="E60" s="88" t="s">
        <v>155</v>
      </c>
      <c r="F60" s="127" t="s">
        <v>176</v>
      </c>
      <c r="G60" s="152">
        <v>0.83</v>
      </c>
      <c r="H60" s="88" t="s">
        <v>171</v>
      </c>
      <c r="I60" s="131">
        <v>1</v>
      </c>
      <c r="J60" s="88">
        <v>10</v>
      </c>
      <c r="K60" s="88" t="s">
        <v>155</v>
      </c>
      <c r="L60" s="127" t="s">
        <v>176</v>
      </c>
      <c r="M60" s="152">
        <v>0.88</v>
      </c>
      <c r="N60" s="88" t="s">
        <v>171</v>
      </c>
      <c r="O60" s="131">
        <v>1</v>
      </c>
      <c r="P60" s="88">
        <v>10</v>
      </c>
      <c r="Q60" s="88" t="s">
        <v>155</v>
      </c>
      <c r="R60" s="127" t="s">
        <v>176</v>
      </c>
    </row>
    <row r="61" spans="1:43" ht="15.75" thickBot="1" x14ac:dyDescent="0.3"/>
    <row r="62" spans="1:43" ht="16.5" thickBot="1" x14ac:dyDescent="0.3">
      <c r="A62" s="145" t="s">
        <v>229</v>
      </c>
      <c r="B62" s="147"/>
      <c r="C62" s="147"/>
      <c r="D62" s="146"/>
      <c r="E62" s="145" t="s">
        <v>232</v>
      </c>
      <c r="F62" s="147"/>
      <c r="G62" s="146"/>
      <c r="H62" s="148" t="s">
        <v>188</v>
      </c>
      <c r="I62" s="149"/>
      <c r="J62" s="149"/>
      <c r="K62" s="150"/>
    </row>
    <row r="63" spans="1:43" x14ac:dyDescent="0.25">
      <c r="A63" s="83" t="s">
        <v>178</v>
      </c>
      <c r="B63" s="84" t="s">
        <v>179</v>
      </c>
      <c r="C63" s="84" t="s">
        <v>189</v>
      </c>
      <c r="D63" s="85" t="s">
        <v>181</v>
      </c>
      <c r="E63" s="83" t="s">
        <v>230</v>
      </c>
      <c r="F63" s="84" t="s">
        <v>178</v>
      </c>
      <c r="G63" s="85" t="s">
        <v>231</v>
      </c>
      <c r="H63" s="83" t="s">
        <v>178</v>
      </c>
      <c r="I63" s="84" t="s">
        <v>179</v>
      </c>
      <c r="J63" s="84" t="s">
        <v>180</v>
      </c>
      <c r="K63" s="85" t="s">
        <v>181</v>
      </c>
    </row>
    <row r="64" spans="1:43" x14ac:dyDescent="0.25">
      <c r="A64" s="83" t="s">
        <v>190</v>
      </c>
      <c r="B64" s="84" t="s">
        <v>187</v>
      </c>
      <c r="C64" s="84" t="s">
        <v>191</v>
      </c>
      <c r="D64" s="85">
        <v>95</v>
      </c>
      <c r="E64" s="83" t="s">
        <v>183</v>
      </c>
      <c r="F64" s="84" t="s">
        <v>182</v>
      </c>
      <c r="G64" s="132">
        <v>0.21</v>
      </c>
      <c r="H64" s="83" t="s">
        <v>182</v>
      </c>
      <c r="I64" s="84" t="s">
        <v>183</v>
      </c>
      <c r="J64" s="153">
        <v>2.1</v>
      </c>
      <c r="K64" s="85">
        <v>100</v>
      </c>
    </row>
    <row r="65" spans="1:11" x14ac:dyDescent="0.25">
      <c r="A65" s="83" t="s">
        <v>190</v>
      </c>
      <c r="B65" s="84" t="s">
        <v>187</v>
      </c>
      <c r="C65" s="84" t="s">
        <v>192</v>
      </c>
      <c r="D65" s="85">
        <v>85</v>
      </c>
      <c r="E65" s="83" t="s">
        <v>183</v>
      </c>
      <c r="F65" s="84" t="s">
        <v>185</v>
      </c>
      <c r="G65" s="132">
        <v>0.17</v>
      </c>
      <c r="H65" s="83" t="s">
        <v>182</v>
      </c>
      <c r="I65" s="84" t="s">
        <v>183</v>
      </c>
      <c r="J65" s="153">
        <v>1.9</v>
      </c>
      <c r="K65" s="85">
        <v>92</v>
      </c>
    </row>
    <row r="66" spans="1:11" x14ac:dyDescent="0.25">
      <c r="A66" s="83" t="s">
        <v>190</v>
      </c>
      <c r="B66" s="84" t="s">
        <v>187</v>
      </c>
      <c r="C66" s="84" t="s">
        <v>193</v>
      </c>
      <c r="D66" s="85">
        <v>80</v>
      </c>
      <c r="E66" s="83" t="s">
        <v>183</v>
      </c>
      <c r="F66" s="84" t="s">
        <v>162</v>
      </c>
      <c r="G66" s="132">
        <v>0.13</v>
      </c>
      <c r="H66" s="83" t="s">
        <v>182</v>
      </c>
      <c r="I66" s="84" t="s">
        <v>183</v>
      </c>
      <c r="J66" s="153">
        <v>1.75</v>
      </c>
      <c r="K66" s="85">
        <v>88</v>
      </c>
    </row>
    <row r="67" spans="1:11" x14ac:dyDescent="0.25">
      <c r="A67" s="83" t="s">
        <v>190</v>
      </c>
      <c r="B67" s="84" t="s">
        <v>187</v>
      </c>
      <c r="C67" s="84" t="s">
        <v>194</v>
      </c>
      <c r="D67" s="85">
        <v>70</v>
      </c>
      <c r="E67" s="83" t="s">
        <v>183</v>
      </c>
      <c r="F67" s="84" t="s">
        <v>186</v>
      </c>
      <c r="G67" s="132">
        <v>0.08</v>
      </c>
      <c r="H67" s="83" t="s">
        <v>182</v>
      </c>
      <c r="I67" s="84" t="s">
        <v>183</v>
      </c>
      <c r="J67" s="153">
        <v>1.6</v>
      </c>
      <c r="K67" s="85">
        <v>84</v>
      </c>
    </row>
    <row r="68" spans="1:11" x14ac:dyDescent="0.25">
      <c r="A68" s="83" t="s">
        <v>195</v>
      </c>
      <c r="B68" s="84" t="s">
        <v>187</v>
      </c>
      <c r="C68" s="84" t="s">
        <v>196</v>
      </c>
      <c r="D68" s="85">
        <v>95</v>
      </c>
      <c r="E68" s="83" t="s">
        <v>183</v>
      </c>
      <c r="F68" s="84" t="s">
        <v>144</v>
      </c>
      <c r="G68" s="132">
        <v>0.08</v>
      </c>
      <c r="H68" s="83" t="s">
        <v>182</v>
      </c>
      <c r="I68" s="84" t="s">
        <v>183</v>
      </c>
      <c r="J68" s="153">
        <v>1.5</v>
      </c>
      <c r="K68" s="85">
        <v>80</v>
      </c>
    </row>
    <row r="69" spans="1:11" x14ac:dyDescent="0.25">
      <c r="A69" s="83" t="s">
        <v>195</v>
      </c>
      <c r="B69" s="84" t="s">
        <v>187</v>
      </c>
      <c r="C69" s="84" t="s">
        <v>197</v>
      </c>
      <c r="D69" s="85">
        <v>85</v>
      </c>
      <c r="E69" s="83" t="s">
        <v>183</v>
      </c>
      <c r="F69" s="84" t="s">
        <v>190</v>
      </c>
      <c r="G69" s="132">
        <v>0.06</v>
      </c>
      <c r="H69" s="83" t="s">
        <v>182</v>
      </c>
      <c r="I69" s="84" t="s">
        <v>183</v>
      </c>
      <c r="J69" s="153">
        <v>1.4</v>
      </c>
      <c r="K69" s="85">
        <v>72</v>
      </c>
    </row>
    <row r="70" spans="1:11" x14ac:dyDescent="0.25">
      <c r="A70" s="83" t="s">
        <v>195</v>
      </c>
      <c r="B70" s="84" t="s">
        <v>187</v>
      </c>
      <c r="C70" s="84" t="s">
        <v>198</v>
      </c>
      <c r="D70" s="85">
        <v>70</v>
      </c>
      <c r="E70" s="83" t="s">
        <v>183</v>
      </c>
      <c r="F70" s="84" t="s">
        <v>195</v>
      </c>
      <c r="G70" s="132">
        <v>0.06</v>
      </c>
      <c r="H70" s="83" t="s">
        <v>182</v>
      </c>
      <c r="I70" s="84" t="s">
        <v>183</v>
      </c>
      <c r="J70" s="153">
        <v>1.3</v>
      </c>
      <c r="K70" s="85">
        <v>64</v>
      </c>
    </row>
    <row r="71" spans="1:11" x14ac:dyDescent="0.25">
      <c r="A71" s="83" t="s">
        <v>195</v>
      </c>
      <c r="B71" s="84" t="s">
        <v>187</v>
      </c>
      <c r="C71" s="84" t="s">
        <v>199</v>
      </c>
      <c r="D71" s="85">
        <v>55</v>
      </c>
      <c r="E71" s="83" t="s">
        <v>183</v>
      </c>
      <c r="F71" s="84" t="s">
        <v>200</v>
      </c>
      <c r="G71" s="132">
        <v>0.05</v>
      </c>
      <c r="H71" s="83" t="s">
        <v>182</v>
      </c>
      <c r="I71" s="84" t="s">
        <v>183</v>
      </c>
      <c r="J71" s="153">
        <v>1.2</v>
      </c>
      <c r="K71" s="85">
        <v>56</v>
      </c>
    </row>
    <row r="72" spans="1:11" x14ac:dyDescent="0.25">
      <c r="A72" s="83" t="s">
        <v>200</v>
      </c>
      <c r="B72" s="84" t="s">
        <v>187</v>
      </c>
      <c r="C72" s="84" t="s">
        <v>201</v>
      </c>
      <c r="D72" s="85">
        <v>95</v>
      </c>
      <c r="E72" s="83" t="s">
        <v>183</v>
      </c>
      <c r="F72" s="84" t="s">
        <v>204</v>
      </c>
      <c r="G72" s="132">
        <v>0.04</v>
      </c>
      <c r="H72" s="83" t="s">
        <v>182</v>
      </c>
      <c r="I72" s="84" t="s">
        <v>183</v>
      </c>
      <c r="J72" s="153">
        <v>1.1000000000000001</v>
      </c>
      <c r="K72" s="85">
        <v>48</v>
      </c>
    </row>
    <row r="73" spans="1:11" x14ac:dyDescent="0.25">
      <c r="A73" s="83" t="s">
        <v>200</v>
      </c>
      <c r="B73" s="84" t="s">
        <v>187</v>
      </c>
      <c r="C73" s="84" t="s">
        <v>202</v>
      </c>
      <c r="D73" s="85">
        <v>80</v>
      </c>
      <c r="E73" s="83" t="s">
        <v>183</v>
      </c>
      <c r="F73" s="84" t="s">
        <v>208</v>
      </c>
      <c r="G73" s="132">
        <v>0.03</v>
      </c>
      <c r="H73" s="83" t="s">
        <v>182</v>
      </c>
      <c r="I73" s="84" t="s">
        <v>183</v>
      </c>
      <c r="J73" s="153">
        <v>1</v>
      </c>
      <c r="K73" s="85">
        <v>40</v>
      </c>
    </row>
    <row r="74" spans="1:11" x14ac:dyDescent="0.25">
      <c r="A74" s="83" t="s">
        <v>200</v>
      </c>
      <c r="B74" s="84" t="s">
        <v>187</v>
      </c>
      <c r="C74" s="84" t="s">
        <v>203</v>
      </c>
      <c r="D74" s="85">
        <v>65</v>
      </c>
      <c r="E74" s="83" t="s">
        <v>183</v>
      </c>
      <c r="F74" s="84" t="s">
        <v>212</v>
      </c>
      <c r="G74" s="132">
        <v>0.03</v>
      </c>
      <c r="H74" s="83" t="s">
        <v>182</v>
      </c>
      <c r="I74" s="84" t="s">
        <v>184</v>
      </c>
      <c r="J74" s="153">
        <v>1.9</v>
      </c>
      <c r="K74" s="85">
        <v>100</v>
      </c>
    </row>
    <row r="75" spans="1:11" x14ac:dyDescent="0.25">
      <c r="A75" s="83" t="s">
        <v>204</v>
      </c>
      <c r="B75" s="84" t="s">
        <v>187</v>
      </c>
      <c r="C75" s="84" t="s">
        <v>205</v>
      </c>
      <c r="D75" s="85">
        <v>95</v>
      </c>
      <c r="E75" s="83" t="s">
        <v>183</v>
      </c>
      <c r="F75" s="84" t="s">
        <v>217</v>
      </c>
      <c r="G75" s="132">
        <v>0.02</v>
      </c>
      <c r="H75" s="83" t="s">
        <v>182</v>
      </c>
      <c r="I75" s="84" t="s">
        <v>184</v>
      </c>
      <c r="J75" s="153">
        <v>1.7</v>
      </c>
      <c r="K75" s="85">
        <v>92</v>
      </c>
    </row>
    <row r="76" spans="1:11" x14ac:dyDescent="0.25">
      <c r="A76" s="83" t="s">
        <v>204</v>
      </c>
      <c r="B76" s="84" t="s">
        <v>187</v>
      </c>
      <c r="C76" s="84" t="s">
        <v>206</v>
      </c>
      <c r="D76" s="85">
        <v>80</v>
      </c>
      <c r="E76" s="83" t="s">
        <v>183</v>
      </c>
      <c r="F76" s="84" t="s">
        <v>221</v>
      </c>
      <c r="G76" s="132">
        <v>0.02</v>
      </c>
      <c r="H76" s="83" t="s">
        <v>182</v>
      </c>
      <c r="I76" s="84" t="s">
        <v>184</v>
      </c>
      <c r="J76" s="153">
        <v>1.55</v>
      </c>
      <c r="K76" s="85">
        <v>88</v>
      </c>
    </row>
    <row r="77" spans="1:11" x14ac:dyDescent="0.25">
      <c r="A77" s="83" t="s">
        <v>204</v>
      </c>
      <c r="B77" s="84" t="s">
        <v>187</v>
      </c>
      <c r="C77" s="84" t="s">
        <v>207</v>
      </c>
      <c r="D77" s="85">
        <v>60</v>
      </c>
      <c r="E77" s="83" t="s">
        <v>183</v>
      </c>
      <c r="F77" s="84" t="s">
        <v>226</v>
      </c>
      <c r="G77" s="132">
        <v>0.02</v>
      </c>
      <c r="H77" s="83" t="s">
        <v>182</v>
      </c>
      <c r="I77" s="84" t="s">
        <v>184</v>
      </c>
      <c r="J77" s="153">
        <v>1.4</v>
      </c>
      <c r="K77" s="85">
        <v>84</v>
      </c>
    </row>
    <row r="78" spans="1:11" x14ac:dyDescent="0.25">
      <c r="A78" s="83" t="s">
        <v>208</v>
      </c>
      <c r="B78" s="84" t="s">
        <v>187</v>
      </c>
      <c r="C78" s="84" t="s">
        <v>209</v>
      </c>
      <c r="D78" s="85">
        <v>92</v>
      </c>
      <c r="E78" s="83" t="s">
        <v>184</v>
      </c>
      <c r="F78" s="84" t="s">
        <v>182</v>
      </c>
      <c r="G78" s="132">
        <v>0.15</v>
      </c>
      <c r="H78" s="83" t="s">
        <v>182</v>
      </c>
      <c r="I78" s="84" t="s">
        <v>184</v>
      </c>
      <c r="J78" s="153">
        <v>1.3</v>
      </c>
      <c r="K78" s="85">
        <v>80</v>
      </c>
    </row>
    <row r="79" spans="1:11" x14ac:dyDescent="0.25">
      <c r="A79" s="83" t="s">
        <v>208</v>
      </c>
      <c r="B79" s="84" t="s">
        <v>187</v>
      </c>
      <c r="C79" s="84" t="s">
        <v>210</v>
      </c>
      <c r="D79" s="85">
        <v>80</v>
      </c>
      <c r="E79" s="83" t="s">
        <v>184</v>
      </c>
      <c r="F79" s="84" t="s">
        <v>185</v>
      </c>
      <c r="G79" s="132">
        <v>0.13</v>
      </c>
      <c r="H79" s="83" t="s">
        <v>182</v>
      </c>
      <c r="I79" s="84" t="s">
        <v>184</v>
      </c>
      <c r="J79" s="153">
        <v>1.2</v>
      </c>
      <c r="K79" s="85">
        <v>72</v>
      </c>
    </row>
    <row r="80" spans="1:11" x14ac:dyDescent="0.25">
      <c r="A80" s="83" t="s">
        <v>208</v>
      </c>
      <c r="B80" s="84" t="s">
        <v>187</v>
      </c>
      <c r="C80" s="84" t="s">
        <v>211</v>
      </c>
      <c r="D80" s="85">
        <v>66</v>
      </c>
      <c r="E80" s="83" t="s">
        <v>184</v>
      </c>
      <c r="F80" s="84" t="s">
        <v>162</v>
      </c>
      <c r="G80" s="132">
        <v>0.1</v>
      </c>
      <c r="H80" s="83" t="s">
        <v>182</v>
      </c>
      <c r="I80" s="84" t="s">
        <v>184</v>
      </c>
      <c r="J80" s="153">
        <v>1.1000000000000001</v>
      </c>
      <c r="K80" s="85">
        <v>64</v>
      </c>
    </row>
    <row r="81" spans="1:11" x14ac:dyDescent="0.25">
      <c r="A81" s="83" t="s">
        <v>212</v>
      </c>
      <c r="B81" s="84" t="s">
        <v>187</v>
      </c>
      <c r="C81" s="84" t="s">
        <v>213</v>
      </c>
      <c r="D81" s="85">
        <v>95</v>
      </c>
      <c r="E81" s="83" t="s">
        <v>184</v>
      </c>
      <c r="F81" s="84" t="s">
        <v>186</v>
      </c>
      <c r="G81" s="132">
        <v>0.08</v>
      </c>
      <c r="H81" s="83" t="s">
        <v>182</v>
      </c>
      <c r="I81" s="84" t="s">
        <v>184</v>
      </c>
      <c r="J81" s="153">
        <v>1</v>
      </c>
      <c r="K81" s="85">
        <v>56</v>
      </c>
    </row>
    <row r="82" spans="1:11" x14ac:dyDescent="0.25">
      <c r="A82" s="83" t="s">
        <v>212</v>
      </c>
      <c r="B82" s="84" t="s">
        <v>187</v>
      </c>
      <c r="C82" s="84" t="s">
        <v>214</v>
      </c>
      <c r="D82" s="85">
        <v>85</v>
      </c>
      <c r="E82" s="83" t="s">
        <v>184</v>
      </c>
      <c r="F82" s="84" t="s">
        <v>144</v>
      </c>
      <c r="G82" s="132">
        <v>0.09</v>
      </c>
      <c r="H82" s="83" t="s">
        <v>182</v>
      </c>
      <c r="I82" s="84" t="s">
        <v>184</v>
      </c>
      <c r="J82" s="153">
        <v>0.95</v>
      </c>
      <c r="K82" s="85">
        <v>48</v>
      </c>
    </row>
    <row r="83" spans="1:11" x14ac:dyDescent="0.25">
      <c r="A83" s="83" t="s">
        <v>212</v>
      </c>
      <c r="B83" s="84" t="s">
        <v>187</v>
      </c>
      <c r="C83" s="84" t="s">
        <v>215</v>
      </c>
      <c r="D83" s="85">
        <v>75</v>
      </c>
      <c r="E83" s="83" t="s">
        <v>184</v>
      </c>
      <c r="F83" s="84" t="s">
        <v>190</v>
      </c>
      <c r="G83" s="132">
        <v>7.0000000000000007E-2</v>
      </c>
      <c r="H83" s="83" t="s">
        <v>182</v>
      </c>
      <c r="I83" s="84" t="s">
        <v>184</v>
      </c>
      <c r="J83" s="153">
        <v>0.9</v>
      </c>
      <c r="K83" s="85">
        <v>40</v>
      </c>
    </row>
    <row r="84" spans="1:11" x14ac:dyDescent="0.25">
      <c r="A84" s="83" t="s">
        <v>212</v>
      </c>
      <c r="B84" s="84" t="s">
        <v>187</v>
      </c>
      <c r="C84" s="84" t="s">
        <v>216</v>
      </c>
      <c r="D84" s="85">
        <v>60</v>
      </c>
      <c r="E84" s="83" t="s">
        <v>184</v>
      </c>
      <c r="F84" s="84" t="s">
        <v>195</v>
      </c>
      <c r="G84" s="132">
        <v>0.08</v>
      </c>
      <c r="H84" s="83" t="s">
        <v>185</v>
      </c>
      <c r="I84" s="84" t="s">
        <v>183</v>
      </c>
      <c r="J84" s="130">
        <v>0.45</v>
      </c>
      <c r="K84" s="85">
        <v>100</v>
      </c>
    </row>
    <row r="85" spans="1:11" x14ac:dyDescent="0.25">
      <c r="A85" s="83" t="s">
        <v>217</v>
      </c>
      <c r="B85" s="84" t="s">
        <v>187</v>
      </c>
      <c r="C85" s="84" t="s">
        <v>218</v>
      </c>
      <c r="D85" s="85">
        <v>95</v>
      </c>
      <c r="E85" s="83" t="s">
        <v>184</v>
      </c>
      <c r="F85" s="84" t="s">
        <v>200</v>
      </c>
      <c r="G85" s="132">
        <v>7.0000000000000007E-2</v>
      </c>
      <c r="H85" s="83" t="s">
        <v>185</v>
      </c>
      <c r="I85" s="84" t="s">
        <v>183</v>
      </c>
      <c r="J85" s="130">
        <v>0.5</v>
      </c>
      <c r="K85" s="85">
        <v>95</v>
      </c>
    </row>
    <row r="86" spans="1:11" x14ac:dyDescent="0.25">
      <c r="A86" s="83" t="s">
        <v>217</v>
      </c>
      <c r="B86" s="84" t="s">
        <v>187</v>
      </c>
      <c r="C86" s="84" t="s">
        <v>219</v>
      </c>
      <c r="D86" s="85">
        <v>82</v>
      </c>
      <c r="E86" s="83" t="s">
        <v>184</v>
      </c>
      <c r="F86" s="84" t="s">
        <v>204</v>
      </c>
      <c r="G86" s="132">
        <v>0.06</v>
      </c>
      <c r="H86" s="83" t="s">
        <v>185</v>
      </c>
      <c r="I86" s="84" t="s">
        <v>183</v>
      </c>
      <c r="J86" s="130">
        <v>0.55000000000000004</v>
      </c>
      <c r="K86" s="85">
        <v>90</v>
      </c>
    </row>
    <row r="87" spans="1:11" x14ac:dyDescent="0.25">
      <c r="A87" s="83" t="s">
        <v>217</v>
      </c>
      <c r="B87" s="84" t="s">
        <v>187</v>
      </c>
      <c r="C87" s="84" t="s">
        <v>220</v>
      </c>
      <c r="D87" s="85">
        <v>68</v>
      </c>
      <c r="E87" s="83" t="s">
        <v>184</v>
      </c>
      <c r="F87" s="84" t="s">
        <v>208</v>
      </c>
      <c r="G87" s="132">
        <v>0.06</v>
      </c>
      <c r="H87" s="83" t="s">
        <v>185</v>
      </c>
      <c r="I87" s="84" t="s">
        <v>183</v>
      </c>
      <c r="J87" s="130">
        <v>0.6</v>
      </c>
      <c r="K87" s="85">
        <v>84</v>
      </c>
    </row>
    <row r="88" spans="1:11" x14ac:dyDescent="0.25">
      <c r="A88" s="83" t="s">
        <v>221</v>
      </c>
      <c r="B88" s="84" t="s">
        <v>187</v>
      </c>
      <c r="C88" s="84" t="s">
        <v>222</v>
      </c>
      <c r="D88" s="85">
        <v>100</v>
      </c>
      <c r="E88" s="83" t="s">
        <v>184</v>
      </c>
      <c r="F88" s="84" t="s">
        <v>212</v>
      </c>
      <c r="G88" s="132">
        <v>0.04</v>
      </c>
      <c r="H88" s="83" t="s">
        <v>185</v>
      </c>
      <c r="I88" s="84" t="s">
        <v>183</v>
      </c>
      <c r="J88" s="130">
        <v>0.65</v>
      </c>
      <c r="K88" s="85">
        <v>76</v>
      </c>
    </row>
    <row r="89" spans="1:11" x14ac:dyDescent="0.25">
      <c r="A89" s="83" t="s">
        <v>221</v>
      </c>
      <c r="B89" s="84" t="s">
        <v>187</v>
      </c>
      <c r="C89" s="84" t="s">
        <v>223</v>
      </c>
      <c r="D89" s="85">
        <v>90</v>
      </c>
      <c r="E89" s="83" t="s">
        <v>184</v>
      </c>
      <c r="F89" s="84" t="s">
        <v>217</v>
      </c>
      <c r="G89" s="132">
        <v>0.03</v>
      </c>
      <c r="H89" s="83" t="s">
        <v>185</v>
      </c>
      <c r="I89" s="84" t="s">
        <v>183</v>
      </c>
      <c r="J89" s="130">
        <v>0.7</v>
      </c>
      <c r="K89" s="85">
        <v>68</v>
      </c>
    </row>
    <row r="90" spans="1:11" x14ac:dyDescent="0.25">
      <c r="A90" s="83" t="s">
        <v>221</v>
      </c>
      <c r="B90" s="84" t="s">
        <v>187</v>
      </c>
      <c r="C90" s="84" t="s">
        <v>224</v>
      </c>
      <c r="D90" s="85">
        <v>80</v>
      </c>
      <c r="E90" s="83" t="s">
        <v>184</v>
      </c>
      <c r="F90" s="84" t="s">
        <v>221</v>
      </c>
      <c r="G90" s="132">
        <v>0.02</v>
      </c>
      <c r="H90" s="83" t="s">
        <v>185</v>
      </c>
      <c r="I90" s="84" t="s">
        <v>183</v>
      </c>
      <c r="J90" s="130">
        <v>0.75</v>
      </c>
      <c r="K90" s="85">
        <v>56</v>
      </c>
    </row>
    <row r="91" spans="1:11" ht="15.75" thickBot="1" x14ac:dyDescent="0.3">
      <c r="A91" s="83" t="s">
        <v>221</v>
      </c>
      <c r="B91" s="84" t="s">
        <v>187</v>
      </c>
      <c r="C91" s="84" t="s">
        <v>225</v>
      </c>
      <c r="D91" s="85">
        <v>65</v>
      </c>
      <c r="E91" s="87" t="s">
        <v>184</v>
      </c>
      <c r="F91" s="88" t="s">
        <v>226</v>
      </c>
      <c r="G91" s="133">
        <v>0.02</v>
      </c>
      <c r="H91" s="83" t="s">
        <v>185</v>
      </c>
      <c r="I91" s="84" t="s">
        <v>184</v>
      </c>
      <c r="J91" s="130">
        <v>0.55000000000000004</v>
      </c>
      <c r="K91" s="85">
        <v>100</v>
      </c>
    </row>
    <row r="92" spans="1:11" x14ac:dyDescent="0.25">
      <c r="A92" s="83" t="s">
        <v>226</v>
      </c>
      <c r="B92" s="84" t="s">
        <v>187</v>
      </c>
      <c r="C92" s="84" t="s">
        <v>227</v>
      </c>
      <c r="D92" s="85">
        <v>90</v>
      </c>
      <c r="H92" s="83" t="s">
        <v>185</v>
      </c>
      <c r="I92" s="84" t="s">
        <v>184</v>
      </c>
      <c r="J92" s="130">
        <v>0.6</v>
      </c>
      <c r="K92" s="85">
        <v>95</v>
      </c>
    </row>
    <row r="93" spans="1:11" ht="15.75" thickBot="1" x14ac:dyDescent="0.3">
      <c r="A93" s="87" t="s">
        <v>226</v>
      </c>
      <c r="B93" s="88" t="s">
        <v>187</v>
      </c>
      <c r="C93" s="88" t="s">
        <v>228</v>
      </c>
      <c r="D93" s="127">
        <v>70</v>
      </c>
      <c r="H93" s="83" t="s">
        <v>185</v>
      </c>
      <c r="I93" s="84" t="s">
        <v>184</v>
      </c>
      <c r="J93" s="130">
        <v>0.65</v>
      </c>
      <c r="K93" s="85">
        <v>90</v>
      </c>
    </row>
    <row r="94" spans="1:11" x14ac:dyDescent="0.25">
      <c r="H94" s="83" t="s">
        <v>185</v>
      </c>
      <c r="I94" s="84" t="s">
        <v>184</v>
      </c>
      <c r="J94" s="130">
        <v>0.7</v>
      </c>
      <c r="K94" s="85">
        <v>84</v>
      </c>
    </row>
    <row r="95" spans="1:11" x14ac:dyDescent="0.25">
      <c r="H95" s="83" t="s">
        <v>185</v>
      </c>
      <c r="I95" s="84" t="s">
        <v>184</v>
      </c>
      <c r="J95" s="130">
        <v>0.75</v>
      </c>
      <c r="K95" s="85">
        <v>76</v>
      </c>
    </row>
    <row r="96" spans="1:11" x14ac:dyDescent="0.25">
      <c r="H96" s="83" t="s">
        <v>185</v>
      </c>
      <c r="I96" s="84" t="s">
        <v>184</v>
      </c>
      <c r="J96" s="130">
        <v>0.8</v>
      </c>
      <c r="K96" s="85">
        <v>68</v>
      </c>
    </row>
    <row r="97" spans="8:11" x14ac:dyDescent="0.25">
      <c r="H97" s="83" t="s">
        <v>185</v>
      </c>
      <c r="I97" s="84" t="s">
        <v>184</v>
      </c>
      <c r="J97" s="130">
        <v>0.85</v>
      </c>
      <c r="K97" s="85">
        <v>56</v>
      </c>
    </row>
    <row r="98" spans="8:11" x14ac:dyDescent="0.25">
      <c r="H98" s="83" t="s">
        <v>185</v>
      </c>
      <c r="I98" s="84" t="s">
        <v>184</v>
      </c>
      <c r="J98" s="130">
        <v>0.9</v>
      </c>
      <c r="K98" s="85">
        <v>48</v>
      </c>
    </row>
    <row r="99" spans="8:11" x14ac:dyDescent="0.25">
      <c r="H99" s="83" t="s">
        <v>185</v>
      </c>
      <c r="I99" s="84" t="s">
        <v>184</v>
      </c>
      <c r="J99" s="130">
        <v>0.95</v>
      </c>
      <c r="K99" s="85">
        <v>40</v>
      </c>
    </row>
    <row r="100" spans="8:11" x14ac:dyDescent="0.25">
      <c r="H100" s="83" t="s">
        <v>186</v>
      </c>
      <c r="I100" s="84" t="s">
        <v>187</v>
      </c>
      <c r="J100" s="154">
        <v>10</v>
      </c>
      <c r="K100" s="85">
        <v>100</v>
      </c>
    </row>
    <row r="101" spans="8:11" x14ac:dyDescent="0.25">
      <c r="H101" s="83" t="s">
        <v>186</v>
      </c>
      <c r="I101" s="84" t="s">
        <v>187</v>
      </c>
      <c r="J101" s="154">
        <v>15</v>
      </c>
      <c r="K101" s="85">
        <v>92</v>
      </c>
    </row>
    <row r="102" spans="8:11" x14ac:dyDescent="0.25">
      <c r="H102" s="83" t="s">
        <v>186</v>
      </c>
      <c r="I102" s="84" t="s">
        <v>187</v>
      </c>
      <c r="J102" s="154">
        <v>20</v>
      </c>
      <c r="K102" s="85">
        <v>84</v>
      </c>
    </row>
    <row r="103" spans="8:11" x14ac:dyDescent="0.25">
      <c r="H103" s="83" t="s">
        <v>186</v>
      </c>
      <c r="I103" s="84" t="s">
        <v>187</v>
      </c>
      <c r="J103" s="154">
        <v>25</v>
      </c>
      <c r="K103" s="85">
        <v>76</v>
      </c>
    </row>
    <row r="104" spans="8:11" x14ac:dyDescent="0.25">
      <c r="H104" s="83" t="s">
        <v>186</v>
      </c>
      <c r="I104" s="84" t="s">
        <v>187</v>
      </c>
      <c r="J104" s="154">
        <v>30</v>
      </c>
      <c r="K104" s="85">
        <v>68</v>
      </c>
    </row>
    <row r="105" spans="8:11" x14ac:dyDescent="0.25">
      <c r="H105" s="83" t="s">
        <v>186</v>
      </c>
      <c r="I105" s="84" t="s">
        <v>187</v>
      </c>
      <c r="J105" s="154">
        <v>35</v>
      </c>
      <c r="K105" s="85">
        <v>60</v>
      </c>
    </row>
    <row r="106" spans="8:11" x14ac:dyDescent="0.25">
      <c r="H106" s="83" t="s">
        <v>186</v>
      </c>
      <c r="I106" s="84" t="s">
        <v>187</v>
      </c>
      <c r="J106" s="154">
        <v>40</v>
      </c>
      <c r="K106" s="85">
        <v>52</v>
      </c>
    </row>
    <row r="107" spans="8:11" x14ac:dyDescent="0.25">
      <c r="H107" s="83" t="s">
        <v>162</v>
      </c>
      <c r="I107" s="84" t="s">
        <v>187</v>
      </c>
      <c r="J107" s="154">
        <v>95</v>
      </c>
      <c r="K107" s="85">
        <v>100</v>
      </c>
    </row>
    <row r="108" spans="8:11" x14ac:dyDescent="0.25">
      <c r="H108" s="83" t="s">
        <v>162</v>
      </c>
      <c r="I108" s="84" t="s">
        <v>187</v>
      </c>
      <c r="J108" s="154">
        <v>90</v>
      </c>
      <c r="K108" s="85">
        <v>92</v>
      </c>
    </row>
    <row r="109" spans="8:11" x14ac:dyDescent="0.25">
      <c r="H109" s="83" t="s">
        <v>162</v>
      </c>
      <c r="I109" s="84" t="s">
        <v>187</v>
      </c>
      <c r="J109" s="154">
        <v>88</v>
      </c>
      <c r="K109" s="85">
        <v>88</v>
      </c>
    </row>
    <row r="110" spans="8:11" x14ac:dyDescent="0.25">
      <c r="H110" s="83" t="s">
        <v>162</v>
      </c>
      <c r="I110" s="84" t="s">
        <v>187</v>
      </c>
      <c r="J110" s="154">
        <v>83</v>
      </c>
      <c r="K110" s="85">
        <v>84</v>
      </c>
    </row>
    <row r="111" spans="8:11" x14ac:dyDescent="0.25">
      <c r="H111" s="83" t="s">
        <v>162</v>
      </c>
      <c r="I111" s="84" t="s">
        <v>187</v>
      </c>
      <c r="J111" s="154">
        <v>80</v>
      </c>
      <c r="K111" s="85">
        <v>80</v>
      </c>
    </row>
    <row r="112" spans="8:11" x14ac:dyDescent="0.25">
      <c r="H112" s="83" t="s">
        <v>162</v>
      </c>
      <c r="I112" s="84" t="s">
        <v>187</v>
      </c>
      <c r="J112" s="154">
        <v>77</v>
      </c>
      <c r="K112" s="85">
        <v>72</v>
      </c>
    </row>
    <row r="113" spans="8:11" x14ac:dyDescent="0.25">
      <c r="H113" s="83" t="s">
        <v>162</v>
      </c>
      <c r="I113" s="84" t="s">
        <v>187</v>
      </c>
      <c r="J113" s="154">
        <v>73</v>
      </c>
      <c r="K113" s="85">
        <v>64</v>
      </c>
    </row>
    <row r="114" spans="8:11" x14ac:dyDescent="0.25">
      <c r="H114" s="83" t="s">
        <v>162</v>
      </c>
      <c r="I114" s="84" t="s">
        <v>187</v>
      </c>
      <c r="J114" s="154">
        <v>70</v>
      </c>
      <c r="K114" s="85">
        <v>56</v>
      </c>
    </row>
    <row r="115" spans="8:11" x14ac:dyDescent="0.25">
      <c r="H115" s="83" t="s">
        <v>162</v>
      </c>
      <c r="I115" s="84" t="s">
        <v>187</v>
      </c>
      <c r="J115" s="154">
        <v>67</v>
      </c>
      <c r="K115" s="85">
        <v>48</v>
      </c>
    </row>
    <row r="116" spans="8:11" ht="15.75" thickBot="1" x14ac:dyDescent="0.3">
      <c r="H116" s="87" t="s">
        <v>162</v>
      </c>
      <c r="I116" s="88" t="s">
        <v>187</v>
      </c>
      <c r="J116" s="155">
        <v>63</v>
      </c>
      <c r="K116" s="127">
        <v>40</v>
      </c>
    </row>
  </sheetData>
  <mergeCells count="16">
    <mergeCell ref="E62:G62"/>
    <mergeCell ref="A62:D62"/>
    <mergeCell ref="H62:K62"/>
    <mergeCell ref="E16:F16"/>
    <mergeCell ref="G16:H16"/>
    <mergeCell ref="A1:M1"/>
    <mergeCell ref="I16:M16"/>
    <mergeCell ref="M40:R40"/>
    <mergeCell ref="M50:R50"/>
    <mergeCell ref="C16:D16"/>
    <mergeCell ref="I28:Q28"/>
    <mergeCell ref="A16:B16"/>
    <mergeCell ref="G50:L50"/>
    <mergeCell ref="G40:L40"/>
    <mergeCell ref="A40:F40"/>
    <mergeCell ref="A50:F50"/>
  </mergeCells>
  <phoneticPr fontId="11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DFD8A-59ED-4B06-A8A8-3A89D749A782}">
  <sheetPr codeName="Sheet1"/>
  <dimension ref="A1:CE16"/>
  <sheetViews>
    <sheetView tabSelected="1" topLeftCell="U1" zoomScale="95" zoomScaleNormal="85" workbookViewId="0">
      <selection activeCell="V2" sqref="V2"/>
    </sheetView>
  </sheetViews>
  <sheetFormatPr defaultColWidth="42.85546875" defaultRowHeight="15.75" x14ac:dyDescent="0.25"/>
  <cols>
    <col min="1" max="1" width="42.85546875" style="1"/>
    <col min="2" max="2" width="43.28515625" style="1" bestFit="1" customWidth="1"/>
    <col min="3" max="3" width="13.42578125" style="1" bestFit="1" customWidth="1"/>
    <col min="4" max="4" width="18.85546875" style="1" bestFit="1" customWidth="1"/>
    <col min="5" max="5" width="31.85546875" style="1" bestFit="1" customWidth="1"/>
    <col min="6" max="6" width="22.85546875" style="1" bestFit="1" customWidth="1"/>
    <col min="7" max="7" width="15.28515625" style="1" bestFit="1" customWidth="1"/>
    <col min="8" max="8" width="20" style="1" bestFit="1" customWidth="1"/>
    <col min="9" max="9" width="29.28515625" style="1" bestFit="1" customWidth="1"/>
    <col min="10" max="10" width="31.42578125" style="1" bestFit="1" customWidth="1"/>
    <col min="11" max="11" width="32.5703125" style="1" bestFit="1" customWidth="1"/>
    <col min="12" max="12" width="25.85546875" style="1" bestFit="1" customWidth="1"/>
    <col min="13" max="13" width="27.5703125" style="1" bestFit="1" customWidth="1"/>
    <col min="14" max="14" width="35.28515625" style="1" bestFit="1" customWidth="1"/>
    <col min="15" max="15" width="37.85546875" style="1" bestFit="1" customWidth="1"/>
    <col min="16" max="16" width="54.7109375" style="1" bestFit="1" customWidth="1"/>
    <col min="17" max="17" width="30.28515625" style="1" customWidth="1"/>
    <col min="18" max="18" width="26.5703125" style="1" bestFit="1" customWidth="1"/>
    <col min="19" max="19" width="22.28515625" style="1" customWidth="1"/>
    <col min="20" max="20" width="23.85546875" style="1" bestFit="1" customWidth="1"/>
    <col min="21" max="21" width="39" style="1" bestFit="1" customWidth="1"/>
    <col min="22" max="22" width="25.28515625" style="1" bestFit="1" customWidth="1"/>
    <col min="23" max="23" width="47.42578125" style="1" bestFit="1" customWidth="1"/>
    <col min="24" max="24" width="33.85546875" style="1" bestFit="1" customWidth="1"/>
    <col min="25" max="25" width="27" style="68" bestFit="1" customWidth="1"/>
    <col min="26" max="26" width="19.5703125" style="1" bestFit="1" customWidth="1"/>
    <col min="27" max="27" width="22.85546875" style="1" bestFit="1" customWidth="1"/>
    <col min="28" max="28" width="22.7109375" style="1" bestFit="1" customWidth="1"/>
    <col min="29" max="29" width="33.42578125" style="1" bestFit="1" customWidth="1"/>
    <col min="30" max="30" width="23" style="1" bestFit="1" customWidth="1"/>
    <col min="31" max="31" width="27.5703125" style="1" bestFit="1" customWidth="1"/>
    <col min="32" max="32" width="29.42578125" style="1" bestFit="1" customWidth="1"/>
    <col min="33" max="34" width="33.5703125" style="1" bestFit="1" customWidth="1"/>
    <col min="35" max="35" width="25.7109375" style="1" bestFit="1" customWidth="1"/>
    <col min="36" max="36" width="23.28515625" style="1" bestFit="1" customWidth="1"/>
    <col min="37" max="37" width="23.140625" style="1" bestFit="1" customWidth="1"/>
    <col min="38" max="38" width="28.5703125" style="1" bestFit="1" customWidth="1"/>
    <col min="39" max="39" width="25" style="1" bestFit="1" customWidth="1"/>
    <col min="40" max="40" width="38.42578125" style="1" bestFit="1" customWidth="1"/>
    <col min="41" max="41" width="25" style="1" bestFit="1" customWidth="1"/>
    <col min="42" max="42" width="36" style="1" bestFit="1" customWidth="1"/>
    <col min="43" max="43" width="25" style="1" bestFit="1" customWidth="1"/>
    <col min="44" max="44" width="32.28515625" style="1" bestFit="1" customWidth="1"/>
    <col min="45" max="45" width="32.42578125" style="1" bestFit="1" customWidth="1"/>
    <col min="46" max="46" width="40" style="1" bestFit="1" customWidth="1"/>
    <col min="47" max="47" width="44.7109375" style="1" bestFit="1" customWidth="1"/>
    <col min="48" max="48" width="40.140625" style="1" bestFit="1" customWidth="1"/>
    <col min="49" max="49" width="44" style="1" bestFit="1" customWidth="1"/>
    <col min="50" max="50" width="25" style="1" bestFit="1" customWidth="1"/>
    <col min="51" max="51" width="26.85546875" style="1" bestFit="1" customWidth="1"/>
    <col min="52" max="52" width="27.85546875" style="1" bestFit="1" customWidth="1"/>
    <col min="53" max="53" width="35.7109375" style="1" bestFit="1" customWidth="1"/>
    <col min="54" max="54" width="33.140625" style="1" bestFit="1" customWidth="1"/>
    <col min="55" max="55" width="35.28515625" style="1" bestFit="1" customWidth="1"/>
    <col min="56" max="56" width="29.85546875" style="1" bestFit="1" customWidth="1"/>
    <col min="57" max="57" width="28.5703125" style="1" bestFit="1" customWidth="1"/>
    <col min="58" max="58" width="36.28515625" style="1" bestFit="1" customWidth="1"/>
    <col min="59" max="59" width="40.42578125" style="1" bestFit="1" customWidth="1"/>
    <col min="60" max="60" width="28.5703125" style="1" bestFit="1" customWidth="1"/>
    <col min="61" max="61" width="23.5703125" style="1" bestFit="1" customWidth="1"/>
    <col min="62" max="62" width="25.7109375" style="1" bestFit="1" customWidth="1"/>
    <col min="63" max="63" width="33.5703125" style="1" bestFit="1" customWidth="1"/>
    <col min="64" max="64" width="48.85546875" style="1" bestFit="1" customWidth="1"/>
    <col min="65" max="65" width="18.28515625" style="1" bestFit="1" customWidth="1"/>
    <col min="66" max="66" width="26.5703125" style="1" bestFit="1" customWidth="1"/>
    <col min="67" max="67" width="33.140625" style="1" bestFit="1" customWidth="1"/>
    <col min="68" max="68" width="24" style="1" bestFit="1" customWidth="1"/>
    <col min="69" max="69" width="25" style="1" bestFit="1" customWidth="1"/>
    <col min="70" max="70" width="36.42578125" style="1" bestFit="1" customWidth="1"/>
    <col min="71" max="71" width="33.42578125" style="1" bestFit="1" customWidth="1"/>
    <col min="72" max="72" width="28.42578125" style="1" bestFit="1" customWidth="1"/>
    <col min="73" max="73" width="31.7109375" style="1" bestFit="1" customWidth="1"/>
    <col min="74" max="74" width="36.42578125" style="1" bestFit="1" customWidth="1"/>
    <col min="75" max="75" width="31.5703125" style="1" bestFit="1" customWidth="1"/>
    <col min="76" max="76" width="29.85546875" style="1" bestFit="1" customWidth="1"/>
    <col min="77" max="77" width="37.140625" style="1" bestFit="1" customWidth="1"/>
    <col min="78" max="78" width="35.42578125" style="1" bestFit="1" customWidth="1"/>
    <col min="79" max="79" width="37" style="1" bestFit="1" customWidth="1"/>
    <col min="80" max="80" width="25.7109375" style="1" bestFit="1" customWidth="1"/>
    <col min="81" max="82" width="25" style="1" bestFit="1" customWidth="1"/>
    <col min="83" max="83" width="33.42578125" style="1" bestFit="1" customWidth="1"/>
    <col min="84" max="16384" width="42.85546875" style="1"/>
  </cols>
  <sheetData>
    <row r="1" spans="1:83" s="60" customFormat="1" ht="21.75" thickBot="1" x14ac:dyDescent="0.4">
      <c r="A1" s="79" t="s">
        <v>123</v>
      </c>
      <c r="B1" s="61" t="s">
        <v>91</v>
      </c>
      <c r="C1" s="61" t="s">
        <v>90</v>
      </c>
      <c r="D1" s="65" t="s">
        <v>89</v>
      </c>
      <c r="E1" s="40" t="s">
        <v>88</v>
      </c>
      <c r="F1" s="41" t="s">
        <v>92</v>
      </c>
      <c r="G1" s="64" t="s">
        <v>93</v>
      </c>
      <c r="H1" s="42" t="s">
        <v>94</v>
      </c>
      <c r="I1" s="61" t="s">
        <v>95</v>
      </c>
      <c r="J1" s="61" t="s">
        <v>96</v>
      </c>
      <c r="K1" s="61" t="s">
        <v>97</v>
      </c>
      <c r="L1" s="43" t="s">
        <v>98</v>
      </c>
      <c r="M1" s="44" t="s">
        <v>99</v>
      </c>
      <c r="N1" s="67" t="s">
        <v>100</v>
      </c>
      <c r="O1" s="41" t="s">
        <v>102</v>
      </c>
      <c r="P1" s="41" t="s">
        <v>101</v>
      </c>
      <c r="Q1" s="73" t="s">
        <v>103</v>
      </c>
      <c r="R1" s="73" t="s">
        <v>104</v>
      </c>
      <c r="S1" s="73" t="s">
        <v>105</v>
      </c>
      <c r="T1" s="46" t="s">
        <v>106</v>
      </c>
      <c r="U1" s="44" t="s">
        <v>107</v>
      </c>
      <c r="V1" s="44" t="s">
        <v>108</v>
      </c>
      <c r="W1" s="44" t="s">
        <v>109</v>
      </c>
      <c r="X1" s="47" t="s">
        <v>110</v>
      </c>
      <c r="Y1" s="45" t="s">
        <v>64</v>
      </c>
      <c r="Z1" s="46" t="s">
        <v>65</v>
      </c>
      <c r="AA1" s="48" t="s">
        <v>66</v>
      </c>
      <c r="AB1" s="49" t="s">
        <v>67</v>
      </c>
      <c r="AC1" s="50" t="s">
        <v>68</v>
      </c>
      <c r="AD1" s="51" t="s">
        <v>69</v>
      </c>
      <c r="AE1" s="51" t="s">
        <v>70</v>
      </c>
      <c r="AF1" s="52" t="s">
        <v>71</v>
      </c>
      <c r="AG1" s="44" t="s">
        <v>20</v>
      </c>
      <c r="AH1" s="45" t="s">
        <v>21</v>
      </c>
      <c r="AI1" s="53" t="s">
        <v>0</v>
      </c>
      <c r="AJ1" s="45" t="s">
        <v>1</v>
      </c>
      <c r="AK1" s="45" t="s">
        <v>77</v>
      </c>
      <c r="AL1" s="49" t="s">
        <v>2</v>
      </c>
      <c r="AM1" s="49" t="s">
        <v>3</v>
      </c>
      <c r="AN1" s="49" t="s">
        <v>4</v>
      </c>
      <c r="AO1" s="49" t="s">
        <v>5</v>
      </c>
      <c r="AP1" s="49" t="s">
        <v>6</v>
      </c>
      <c r="AQ1" s="49" t="s">
        <v>7</v>
      </c>
      <c r="AR1" s="54" t="s">
        <v>85</v>
      </c>
      <c r="AS1" s="54" t="s">
        <v>30</v>
      </c>
      <c r="AT1" s="54" t="s">
        <v>31</v>
      </c>
      <c r="AU1" s="54" t="s">
        <v>32</v>
      </c>
      <c r="AV1" s="54" t="s">
        <v>33</v>
      </c>
      <c r="AW1" s="52" t="s">
        <v>23</v>
      </c>
      <c r="AX1" s="51" t="s">
        <v>24</v>
      </c>
      <c r="AY1" s="45" t="s">
        <v>25</v>
      </c>
      <c r="AZ1" s="45" t="s">
        <v>26</v>
      </c>
      <c r="BA1" s="52" t="s">
        <v>27</v>
      </c>
      <c r="BB1" s="51" t="s">
        <v>28</v>
      </c>
      <c r="BC1" s="51" t="s">
        <v>29</v>
      </c>
      <c r="BD1" s="51" t="s">
        <v>34</v>
      </c>
      <c r="BE1" s="43" t="s">
        <v>35</v>
      </c>
      <c r="BF1" s="51" t="s">
        <v>36</v>
      </c>
      <c r="BG1" s="55" t="s">
        <v>37</v>
      </c>
      <c r="BH1" s="56" t="s">
        <v>38</v>
      </c>
      <c r="BI1" s="57" t="s">
        <v>39</v>
      </c>
      <c r="BJ1" s="51" t="s">
        <v>40</v>
      </c>
      <c r="BK1" s="51" t="s">
        <v>41</v>
      </c>
      <c r="BL1" s="56" t="s">
        <v>42</v>
      </c>
      <c r="BM1" s="56" t="s">
        <v>43</v>
      </c>
      <c r="BN1" s="56" t="s">
        <v>44</v>
      </c>
      <c r="BO1" s="56" t="s">
        <v>45</v>
      </c>
      <c r="BP1" s="56" t="s">
        <v>46</v>
      </c>
      <c r="BQ1" s="52" t="s">
        <v>48</v>
      </c>
      <c r="BR1" s="58" t="s">
        <v>49</v>
      </c>
      <c r="BS1" s="58" t="s">
        <v>50</v>
      </c>
      <c r="BT1" s="43" t="s">
        <v>51</v>
      </c>
      <c r="BU1" s="45" t="s">
        <v>52</v>
      </c>
      <c r="BV1" s="51" t="s">
        <v>53</v>
      </c>
      <c r="BW1" s="51" t="s">
        <v>54</v>
      </c>
      <c r="BX1" s="51" t="s">
        <v>34</v>
      </c>
      <c r="BY1" s="51" t="s">
        <v>55</v>
      </c>
      <c r="BZ1" s="59" t="s">
        <v>56</v>
      </c>
      <c r="CA1" s="52" t="s">
        <v>57</v>
      </c>
      <c r="CB1" s="51" t="s">
        <v>58</v>
      </c>
      <c r="CC1" s="51" t="s">
        <v>24</v>
      </c>
      <c r="CD1" s="51" t="s">
        <v>59</v>
      </c>
      <c r="CE1" s="59" t="s">
        <v>60</v>
      </c>
    </row>
    <row r="2" spans="1:83" ht="16.5" thickBot="1" x14ac:dyDescent="0.3">
      <c r="A2" s="80" t="s">
        <v>113</v>
      </c>
      <c r="B2" s="62">
        <v>100</v>
      </c>
      <c r="C2" s="62">
        <v>1.2</v>
      </c>
      <c r="D2" s="27" t="str" cm="1">
        <f t="array" ref="D2">_xlfn.LET(
    _xlpm.outputRange,#REF!,
    _xlpm.headers,#REF!,
    _xlpm.targetHeader,   D$1,
    _xlpm.colIndex, _xlfn.XMATCH(_xlpm.targetHeader, _xlpm.headers),
    _xlpm.colValues, INDEX(_xlpm.outputRange, _xlfn.SEQUENCE(COUNTA(INDEX(_xlpm.outputRange,,_xlpm.colIndex))), _xlpm.colIndex),
    IFERROR(_xlpm.colValues, "")
)</f>
        <v/>
      </c>
      <c r="E2" s="28">
        <v>120</v>
      </c>
      <c r="F2" s="70" t="str" cm="1">
        <f t="array" ref="F2">_xlfn.LET(
    _xlpm.outputRange,#REF!,
    _xlpm.headers,#REF!,
    _xlpm.targetHeader,   F$1,
    _xlpm.colIndex, _xlfn.XMATCH(_xlpm.targetHeader, _xlpm.headers),
    _xlpm.colValues, INDEX(_xlpm.outputRange, _xlfn.SEQUENCE(COUNTA(INDEX(_xlpm.outputRange,,_xlpm.colIndex))), _xlpm.colIndex),
    IFERROR(_xlpm.colValues, "")
)</f>
        <v/>
      </c>
      <c r="G2" s="63">
        <v>0.15</v>
      </c>
      <c r="H2" s="26"/>
      <c r="I2" s="66">
        <v>7500000</v>
      </c>
      <c r="J2" s="66">
        <v>11000000</v>
      </c>
      <c r="K2" s="66">
        <v>10000000</v>
      </c>
      <c r="L2" s="26"/>
      <c r="M2" s="26"/>
      <c r="N2" s="66">
        <v>33305000</v>
      </c>
      <c r="O2" s="26"/>
      <c r="P2" s="26"/>
      <c r="Q2" s="72">
        <v>1.5</v>
      </c>
      <c r="R2" s="74">
        <v>0.03</v>
      </c>
      <c r="S2" s="75">
        <v>5</v>
      </c>
      <c r="T2" s="26" t="s">
        <v>87</v>
      </c>
      <c r="U2" s="26" t="s">
        <v>87</v>
      </c>
      <c r="V2" s="26" t="s">
        <v>87</v>
      </c>
      <c r="W2" s="26" t="s">
        <v>87</v>
      </c>
      <c r="X2" s="26" t="s">
        <v>87</v>
      </c>
      <c r="Y2" s="32">
        <v>5</v>
      </c>
      <c r="Z2" s="26" t="s">
        <v>87</v>
      </c>
      <c r="AA2" s="26" t="s">
        <v>87</v>
      </c>
      <c r="AB2" s="26" t="s">
        <v>87</v>
      </c>
      <c r="AC2" s="34" t="s">
        <v>18</v>
      </c>
      <c r="AD2" s="26" t="s">
        <v>87</v>
      </c>
      <c r="AE2" s="26" t="s">
        <v>87</v>
      </c>
      <c r="AF2" s="26" t="s">
        <v>87</v>
      </c>
      <c r="AG2" s="26" t="s">
        <v>87</v>
      </c>
      <c r="AH2" s="15" t="s">
        <v>62</v>
      </c>
      <c r="AI2" s="15">
        <v>1.1000000000000001</v>
      </c>
      <c r="AJ2" s="17">
        <v>0.06</v>
      </c>
      <c r="AK2" s="14">
        <v>5</v>
      </c>
      <c r="AL2" s="2" t="s">
        <v>8</v>
      </c>
      <c r="AM2" s="2" t="s">
        <v>8</v>
      </c>
      <c r="AN2" s="2" t="s">
        <v>8</v>
      </c>
      <c r="AO2" s="2" t="s">
        <v>8</v>
      </c>
      <c r="AP2" s="2" t="s">
        <v>8</v>
      </c>
      <c r="AQ2" s="2" t="s">
        <v>8</v>
      </c>
      <c r="AR2" s="11" t="s">
        <v>22</v>
      </c>
      <c r="AS2" s="11" t="s">
        <v>22</v>
      </c>
      <c r="AT2" s="11" t="s">
        <v>22</v>
      </c>
      <c r="AU2" s="11" t="s">
        <v>22</v>
      </c>
      <c r="AV2" s="11" t="s">
        <v>22</v>
      </c>
      <c r="AW2" s="11" t="s">
        <v>8</v>
      </c>
      <c r="AX2" s="11" t="s">
        <v>8</v>
      </c>
      <c r="AY2" s="20">
        <v>0.15</v>
      </c>
      <c r="AZ2" s="18">
        <v>0.14000000000000001</v>
      </c>
      <c r="BA2" s="11" t="s">
        <v>8</v>
      </c>
      <c r="BB2" s="11" t="s">
        <v>8</v>
      </c>
      <c r="BC2" s="11" t="s">
        <v>8</v>
      </c>
      <c r="BD2" s="11" t="s">
        <v>8</v>
      </c>
      <c r="BE2" s="11" t="s">
        <v>8</v>
      </c>
      <c r="BF2" s="11" t="s">
        <v>8</v>
      </c>
      <c r="BG2" s="3" t="s">
        <v>9</v>
      </c>
      <c r="BH2" s="3" t="s">
        <v>9</v>
      </c>
      <c r="BI2" s="3" t="s">
        <v>9</v>
      </c>
      <c r="BJ2" s="11" t="s">
        <v>8</v>
      </c>
      <c r="BK2" s="11" t="s">
        <v>8</v>
      </c>
      <c r="BL2" s="8" t="s">
        <v>61</v>
      </c>
      <c r="BM2" s="8" t="s">
        <v>61</v>
      </c>
      <c r="BN2" s="3" t="s">
        <v>9</v>
      </c>
      <c r="BO2" s="3" t="s">
        <v>9</v>
      </c>
      <c r="BP2" s="3" t="s">
        <v>9</v>
      </c>
      <c r="BQ2" s="11" t="s">
        <v>8</v>
      </c>
      <c r="BR2" s="11" t="s">
        <v>8</v>
      </c>
      <c r="BS2" s="11" t="s">
        <v>18</v>
      </c>
      <c r="BT2" s="11" t="s">
        <v>8</v>
      </c>
      <c r="BU2" s="10" t="s">
        <v>47</v>
      </c>
      <c r="BV2" s="11" t="s">
        <v>8</v>
      </c>
      <c r="BW2" s="11" t="s">
        <v>8</v>
      </c>
      <c r="BX2" s="11" t="s">
        <v>8</v>
      </c>
      <c r="BY2" s="11" t="s">
        <v>8</v>
      </c>
      <c r="BZ2" s="11" t="s">
        <v>8</v>
      </c>
      <c r="CA2" s="11" t="s">
        <v>8</v>
      </c>
      <c r="CB2" s="11" t="s">
        <v>8</v>
      </c>
      <c r="CC2" s="11" t="s">
        <v>8</v>
      </c>
      <c r="CD2" s="11" t="s">
        <v>8</v>
      </c>
      <c r="CE2" s="11" t="s">
        <v>18</v>
      </c>
    </row>
    <row r="3" spans="1:83" ht="16.5" thickBot="1" x14ac:dyDescent="0.3">
      <c r="E3" s="29">
        <v>140</v>
      </c>
      <c r="F3" s="70"/>
      <c r="G3" s="63">
        <v>0.2</v>
      </c>
      <c r="H3" s="26"/>
      <c r="I3" s="24" t="s">
        <v>10</v>
      </c>
      <c r="J3" s="24" t="s">
        <v>86</v>
      </c>
      <c r="K3" s="25" t="s">
        <v>11</v>
      </c>
      <c r="L3" s="26"/>
      <c r="M3" s="26"/>
      <c r="N3" s="24" t="s">
        <v>12</v>
      </c>
      <c r="O3" s="26"/>
      <c r="P3" s="26"/>
      <c r="Q3" s="72">
        <v>1.55</v>
      </c>
      <c r="R3" s="74">
        <v>3.2500000000000001E-2</v>
      </c>
      <c r="S3" s="75">
        <v>7</v>
      </c>
      <c r="T3" s="26" t="s">
        <v>87</v>
      </c>
      <c r="U3" s="26" t="s">
        <v>87</v>
      </c>
      <c r="V3" s="26" t="s">
        <v>87</v>
      </c>
      <c r="W3" s="26" t="s">
        <v>87</v>
      </c>
      <c r="X3" s="26" t="s">
        <v>87</v>
      </c>
      <c r="Y3" s="30">
        <v>7</v>
      </c>
      <c r="Z3" s="26" t="s">
        <v>87</v>
      </c>
      <c r="AA3" s="26" t="s">
        <v>87</v>
      </c>
      <c r="AB3" s="26" t="s">
        <v>87</v>
      </c>
      <c r="AC3" s="35"/>
      <c r="AD3" s="26" t="s">
        <v>87</v>
      </c>
      <c r="AE3" s="26" t="s">
        <v>87</v>
      </c>
      <c r="AF3" s="26" t="s">
        <v>87</v>
      </c>
      <c r="AG3" s="26" t="s">
        <v>87</v>
      </c>
      <c r="AH3" s="15">
        <v>0.35</v>
      </c>
      <c r="AI3" s="15">
        <v>1.1499999999999999</v>
      </c>
      <c r="AJ3" s="12">
        <v>6.25E-2</v>
      </c>
      <c r="AK3" s="13">
        <v>7</v>
      </c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1">
        <v>0.2</v>
      </c>
      <c r="AZ3" s="12">
        <v>0.15</v>
      </c>
      <c r="BA3" s="2"/>
      <c r="BB3" s="2"/>
      <c r="BC3" s="2"/>
      <c r="BD3" s="2"/>
      <c r="BE3" s="2"/>
      <c r="BF3" s="2"/>
      <c r="BG3" s="3" t="s">
        <v>9</v>
      </c>
      <c r="BH3" s="3" t="s">
        <v>9</v>
      </c>
      <c r="BI3" s="3" t="s">
        <v>9</v>
      </c>
      <c r="BJ3" s="2"/>
      <c r="BK3" s="2"/>
      <c r="BN3" s="3" t="s">
        <v>9</v>
      </c>
      <c r="BO3" s="3" t="s">
        <v>9</v>
      </c>
      <c r="BP3" s="3" t="s">
        <v>9</v>
      </c>
      <c r="BQ3" s="2"/>
      <c r="BR3" s="2"/>
      <c r="BS3" s="2"/>
      <c r="BT3" s="2"/>
      <c r="BU3" s="1" t="s">
        <v>63</v>
      </c>
      <c r="BV3" s="2"/>
      <c r="BW3" s="2"/>
      <c r="BX3" s="2"/>
      <c r="BY3" s="2"/>
      <c r="BZ3" s="2"/>
      <c r="CA3" s="2"/>
      <c r="CB3" s="2"/>
      <c r="CC3" s="2"/>
      <c r="CD3" s="2"/>
      <c r="CE3" s="2"/>
    </row>
    <row r="4" spans="1:83" ht="16.5" thickBot="1" x14ac:dyDescent="0.3">
      <c r="E4" s="29">
        <v>160</v>
      </c>
      <c r="F4" s="70"/>
      <c r="G4" s="63">
        <v>0.25</v>
      </c>
      <c r="H4" s="26"/>
      <c r="L4" s="26"/>
      <c r="M4" s="26"/>
      <c r="N4" s="4"/>
      <c r="O4" s="26"/>
      <c r="P4" s="26"/>
      <c r="Q4" s="72">
        <v>1.6</v>
      </c>
      <c r="R4" s="74">
        <v>3.5000000000000003E-2</v>
      </c>
      <c r="S4" s="75">
        <v>10</v>
      </c>
      <c r="T4" s="26" t="s">
        <v>87</v>
      </c>
      <c r="U4" s="26" t="s">
        <v>87</v>
      </c>
      <c r="V4" s="26" t="s">
        <v>87</v>
      </c>
      <c r="W4" s="26" t="s">
        <v>87</v>
      </c>
      <c r="X4" s="26" t="s">
        <v>87</v>
      </c>
      <c r="Y4" s="30">
        <v>10</v>
      </c>
      <c r="Z4" s="26" t="s">
        <v>87</v>
      </c>
      <c r="AA4" s="26" t="s">
        <v>87</v>
      </c>
      <c r="AB4" s="26" t="s">
        <v>87</v>
      </c>
      <c r="AC4" s="35"/>
      <c r="AD4" s="26" t="s">
        <v>87</v>
      </c>
      <c r="AE4" s="26" t="s">
        <v>87</v>
      </c>
      <c r="AF4" s="26" t="s">
        <v>87</v>
      </c>
      <c r="AG4" s="26" t="s">
        <v>87</v>
      </c>
      <c r="AH4" s="15">
        <v>0.45</v>
      </c>
      <c r="AI4" s="15">
        <v>1.2</v>
      </c>
      <c r="AJ4" s="12">
        <v>6.5000000000000002E-2</v>
      </c>
      <c r="AK4" s="13">
        <v>10</v>
      </c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2">
        <v>0.25</v>
      </c>
      <c r="AZ4" s="12">
        <v>0.16</v>
      </c>
      <c r="BA4" s="2"/>
      <c r="BB4" s="2"/>
      <c r="BC4" s="2"/>
      <c r="BD4" s="2"/>
      <c r="BE4" s="2"/>
      <c r="BF4" s="2"/>
      <c r="BG4" s="3" t="s">
        <v>9</v>
      </c>
      <c r="BH4" s="3" t="s">
        <v>9</v>
      </c>
      <c r="BI4" s="3" t="s">
        <v>9</v>
      </c>
      <c r="BJ4" s="2"/>
      <c r="BK4" s="2"/>
      <c r="BN4" s="3" t="s">
        <v>9</v>
      </c>
      <c r="BO4" s="3" t="s">
        <v>9</v>
      </c>
      <c r="BP4" s="3" t="s">
        <v>9</v>
      </c>
      <c r="BQ4" s="2"/>
      <c r="BR4" s="2"/>
      <c r="BS4" s="2"/>
      <c r="BT4" s="2"/>
      <c r="BV4" s="2"/>
      <c r="BW4" s="2"/>
      <c r="BX4" s="2"/>
      <c r="BY4" s="2"/>
      <c r="BZ4" s="2"/>
      <c r="CA4" s="2"/>
      <c r="CB4" s="2"/>
      <c r="CC4" s="2"/>
      <c r="CD4" s="2"/>
      <c r="CE4" s="2"/>
    </row>
    <row r="5" spans="1:83" ht="16.5" thickBot="1" x14ac:dyDescent="0.3">
      <c r="E5" s="29">
        <v>180</v>
      </c>
      <c r="F5" s="70"/>
      <c r="G5" s="63">
        <v>0.3</v>
      </c>
      <c r="H5" s="26"/>
      <c r="L5" s="26"/>
      <c r="M5" s="26"/>
      <c r="N5" s="4"/>
      <c r="O5" s="26"/>
      <c r="P5" s="26"/>
      <c r="Q5" s="72">
        <v>1.65</v>
      </c>
      <c r="R5" s="74">
        <v>3.7499999999999999E-2</v>
      </c>
      <c r="S5" s="75">
        <v>15</v>
      </c>
      <c r="T5" s="26" t="s">
        <v>87</v>
      </c>
      <c r="U5" s="26" t="s">
        <v>87</v>
      </c>
      <c r="V5" s="26" t="s">
        <v>87</v>
      </c>
      <c r="W5" s="26" t="s">
        <v>87</v>
      </c>
      <c r="X5" s="26" t="s">
        <v>87</v>
      </c>
      <c r="Y5" s="30">
        <v>15</v>
      </c>
      <c r="Z5" s="26" t="s">
        <v>87</v>
      </c>
      <c r="AA5" s="26" t="s">
        <v>87</v>
      </c>
      <c r="AB5" s="26" t="s">
        <v>87</v>
      </c>
      <c r="AC5" s="35"/>
      <c r="AD5" s="26" t="s">
        <v>87</v>
      </c>
      <c r="AE5" s="26" t="s">
        <v>87</v>
      </c>
      <c r="AF5" s="26" t="s">
        <v>87</v>
      </c>
      <c r="AG5" s="26" t="s">
        <v>87</v>
      </c>
      <c r="AH5" s="16">
        <v>0.5</v>
      </c>
      <c r="AI5" s="15">
        <v>1.25</v>
      </c>
      <c r="AJ5" s="12">
        <v>6.7500000000000004E-2</v>
      </c>
      <c r="AK5" s="13">
        <v>15</v>
      </c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Z5" s="12">
        <v>0.17</v>
      </c>
      <c r="BA5" s="2"/>
      <c r="BB5" s="2"/>
      <c r="BC5" s="2"/>
      <c r="BD5" s="2"/>
      <c r="BE5" s="2"/>
      <c r="BF5" s="2"/>
      <c r="BG5" s="3" t="s">
        <v>9</v>
      </c>
      <c r="BH5" s="3" t="s">
        <v>9</v>
      </c>
      <c r="BI5" s="3" t="s">
        <v>9</v>
      </c>
      <c r="BJ5" s="2"/>
      <c r="BK5" s="2"/>
      <c r="BN5" s="3" t="s">
        <v>9</v>
      </c>
      <c r="BO5" s="3" t="s">
        <v>9</v>
      </c>
      <c r="BP5" s="3" t="s">
        <v>9</v>
      </c>
      <c r="BQ5" s="2"/>
      <c r="BR5" s="2"/>
      <c r="BS5" s="2"/>
      <c r="BT5" s="2"/>
      <c r="BV5" s="2"/>
      <c r="BW5" s="2"/>
      <c r="BX5" s="2"/>
      <c r="BY5" s="2"/>
      <c r="BZ5" s="2"/>
      <c r="CA5" s="2"/>
      <c r="CB5" s="2"/>
      <c r="CC5" s="2"/>
      <c r="CD5" s="2"/>
      <c r="CE5" s="2"/>
    </row>
    <row r="6" spans="1:83" ht="16.5" thickBot="1" x14ac:dyDescent="0.3">
      <c r="E6" s="29">
        <v>200</v>
      </c>
      <c r="F6" s="70"/>
      <c r="H6" s="26"/>
      <c r="L6" s="26"/>
      <c r="M6" s="26"/>
      <c r="N6" s="4"/>
      <c r="O6" s="26"/>
      <c r="P6" s="26"/>
      <c r="Q6" s="72">
        <v>1.7</v>
      </c>
      <c r="R6" s="74">
        <v>0.04</v>
      </c>
      <c r="S6" s="75">
        <v>20</v>
      </c>
      <c r="T6" s="26" t="s">
        <v>87</v>
      </c>
      <c r="U6" s="26" t="s">
        <v>87</v>
      </c>
      <c r="V6" s="26" t="s">
        <v>87</v>
      </c>
      <c r="W6" s="26" t="s">
        <v>87</v>
      </c>
      <c r="X6" s="26" t="s">
        <v>87</v>
      </c>
      <c r="Y6" s="30">
        <v>20</v>
      </c>
      <c r="Z6" s="26" t="s">
        <v>87</v>
      </c>
      <c r="AA6" s="26" t="s">
        <v>87</v>
      </c>
      <c r="AB6" s="26" t="s">
        <v>87</v>
      </c>
      <c r="AC6" s="35"/>
      <c r="AD6" s="26" t="s">
        <v>87</v>
      </c>
      <c r="AE6" s="26" t="s">
        <v>87</v>
      </c>
      <c r="AF6" s="26" t="s">
        <v>87</v>
      </c>
      <c r="AG6" s="26" t="s">
        <v>87</v>
      </c>
      <c r="AH6" s="1" t="s">
        <v>73</v>
      </c>
      <c r="AI6" s="15">
        <v>1.3</v>
      </c>
      <c r="AJ6" s="12">
        <v>7.0000000000000007E-2</v>
      </c>
      <c r="AK6" s="13">
        <v>20</v>
      </c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Z6" s="12">
        <v>0.18</v>
      </c>
      <c r="BA6" s="2"/>
      <c r="BB6" s="2"/>
      <c r="BC6" s="2"/>
      <c r="BD6" s="2"/>
      <c r="BE6" s="2"/>
      <c r="BF6" s="2"/>
      <c r="BG6" s="3" t="s">
        <v>9</v>
      </c>
      <c r="BH6" s="3" t="s">
        <v>9</v>
      </c>
      <c r="BI6" s="3" t="s">
        <v>9</v>
      </c>
      <c r="BJ6" s="2"/>
      <c r="BK6" s="2"/>
      <c r="BN6" s="3" t="s">
        <v>9</v>
      </c>
      <c r="BO6" s="3" t="s">
        <v>9</v>
      </c>
      <c r="BP6" s="3" t="s">
        <v>9</v>
      </c>
      <c r="BQ6" s="2"/>
      <c r="BR6" s="2"/>
      <c r="BS6" s="2"/>
      <c r="BT6" s="2"/>
      <c r="BV6" s="2"/>
      <c r="BW6" s="2"/>
      <c r="BX6" s="2"/>
      <c r="BY6" s="2"/>
      <c r="BZ6" s="2"/>
      <c r="CA6" s="2"/>
      <c r="CB6" s="2"/>
      <c r="CC6" s="2"/>
      <c r="CD6" s="2"/>
      <c r="CE6" s="2"/>
    </row>
    <row r="7" spans="1:83" ht="16.5" thickBot="1" x14ac:dyDescent="0.3">
      <c r="E7" s="29">
        <v>220</v>
      </c>
      <c r="F7" s="71"/>
      <c r="H7" s="26"/>
      <c r="L7" s="26"/>
      <c r="M7" s="26"/>
      <c r="N7" s="4"/>
      <c r="O7" s="26"/>
      <c r="P7" s="26"/>
      <c r="Q7" s="72">
        <v>1.75</v>
      </c>
      <c r="R7" s="74">
        <v>4.2500000000000003E-2</v>
      </c>
      <c r="S7" s="75">
        <v>25</v>
      </c>
      <c r="T7" s="26" t="s">
        <v>87</v>
      </c>
      <c r="U7" s="26" t="s">
        <v>87</v>
      </c>
      <c r="V7" s="26" t="s">
        <v>87</v>
      </c>
      <c r="W7" s="26" t="s">
        <v>87</v>
      </c>
      <c r="X7" s="26" t="s">
        <v>87</v>
      </c>
      <c r="Y7" s="30">
        <v>25</v>
      </c>
      <c r="Z7" s="26" t="s">
        <v>87</v>
      </c>
      <c r="AA7" s="26" t="s">
        <v>87</v>
      </c>
      <c r="AB7" s="26" t="s">
        <v>87</v>
      </c>
      <c r="AC7" s="36"/>
      <c r="AD7" s="26" t="s">
        <v>87</v>
      </c>
      <c r="AE7" s="26" t="s">
        <v>87</v>
      </c>
      <c r="AF7" s="26" t="s">
        <v>87</v>
      </c>
      <c r="AG7" s="26" t="s">
        <v>87</v>
      </c>
      <c r="AI7" s="16">
        <v>1.35</v>
      </c>
      <c r="AJ7" s="12">
        <v>7.2499999999999995E-2</v>
      </c>
      <c r="AK7" s="13">
        <v>25</v>
      </c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Z7" s="23">
        <v>0.19</v>
      </c>
      <c r="BA7" s="7"/>
      <c r="BB7" s="7"/>
      <c r="BC7" s="7"/>
      <c r="BD7" s="7"/>
      <c r="BE7" s="7"/>
      <c r="BF7" s="7"/>
      <c r="BG7" s="8" t="s">
        <v>9</v>
      </c>
      <c r="BH7" s="8" t="s">
        <v>9</v>
      </c>
      <c r="BI7" s="8" t="s">
        <v>9</v>
      </c>
      <c r="BJ7" s="7"/>
      <c r="BK7" s="7"/>
      <c r="BN7" s="8" t="s">
        <v>9</v>
      </c>
      <c r="BO7" s="8" t="s">
        <v>9</v>
      </c>
      <c r="BP7" s="8" t="s">
        <v>9</v>
      </c>
      <c r="BQ7" s="7"/>
      <c r="BR7" s="7"/>
      <c r="BS7" s="7"/>
      <c r="BT7" s="7"/>
      <c r="BV7" s="7"/>
      <c r="BW7" s="7"/>
      <c r="BX7" s="7"/>
      <c r="BY7" s="7"/>
      <c r="BZ7" s="7"/>
      <c r="CA7" s="7"/>
      <c r="CB7" s="7"/>
      <c r="CC7" s="7"/>
      <c r="CD7" s="7"/>
      <c r="CE7" s="7"/>
    </row>
    <row r="8" spans="1:83" ht="16.5" thickBot="1" x14ac:dyDescent="0.3">
      <c r="P8" s="82" t="s">
        <v>125</v>
      </c>
      <c r="Q8" s="72">
        <v>1.8</v>
      </c>
      <c r="R8" s="74">
        <v>4.4999999999999998E-2</v>
      </c>
      <c r="S8" s="75">
        <v>30</v>
      </c>
      <c r="Y8" s="31">
        <v>30</v>
      </c>
      <c r="Z8" s="33"/>
      <c r="AG8" s="1" t="s">
        <v>72</v>
      </c>
      <c r="AI8" s="1" t="s">
        <v>74</v>
      </c>
      <c r="AJ8" s="18">
        <v>7.4999999999999997E-2</v>
      </c>
      <c r="AK8" s="10">
        <v>30</v>
      </c>
      <c r="AL8" s="1" t="s">
        <v>78</v>
      </c>
      <c r="AM8" s="1" t="s">
        <v>79</v>
      </c>
      <c r="AN8" s="1" t="s">
        <v>80</v>
      </c>
      <c r="AO8" s="1" t="s">
        <v>81</v>
      </c>
      <c r="AP8" s="1" t="s">
        <v>82</v>
      </c>
      <c r="AQ8" s="1" t="s">
        <v>83</v>
      </c>
      <c r="AR8" s="1" t="s">
        <v>84</v>
      </c>
      <c r="BN8" s="1" t="s">
        <v>63</v>
      </c>
      <c r="BO8" s="1" t="s">
        <v>63</v>
      </c>
      <c r="BP8" s="1" t="s">
        <v>63</v>
      </c>
    </row>
    <row r="9" spans="1:83" ht="16.5" thickBot="1" x14ac:dyDescent="0.3">
      <c r="R9" s="74">
        <v>4.7500000000000001E-2</v>
      </c>
      <c r="AJ9" s="18">
        <v>7.7499999999999999E-2</v>
      </c>
      <c r="AK9" s="1" t="s">
        <v>76</v>
      </c>
      <c r="BL9"/>
    </row>
    <row r="10" spans="1:83" ht="16.5" thickBot="1" x14ac:dyDescent="0.3">
      <c r="R10" s="74">
        <v>0.05</v>
      </c>
      <c r="T10" s="76" t="s">
        <v>111</v>
      </c>
      <c r="AJ10" s="18">
        <v>0.08</v>
      </c>
    </row>
    <row r="11" spans="1:83" ht="16.5" thickBot="1" x14ac:dyDescent="0.3">
      <c r="A11" s="5" t="s">
        <v>13</v>
      </c>
      <c r="AI11" s="18">
        <v>8.2500000000000004E-2</v>
      </c>
      <c r="AX11"/>
    </row>
    <row r="12" spans="1:83" ht="16.5" thickBot="1" x14ac:dyDescent="0.3">
      <c r="A12" s="37" t="s">
        <v>14</v>
      </c>
      <c r="AH12"/>
      <c r="AJ12" s="18">
        <v>8.5000000000000006E-2</v>
      </c>
    </row>
    <row r="13" spans="1:83" ht="16.5" thickBot="1" x14ac:dyDescent="0.3">
      <c r="A13" s="6" t="s">
        <v>15</v>
      </c>
      <c r="AJ13" s="19">
        <v>8.7499999999999994E-2</v>
      </c>
    </row>
    <row r="14" spans="1:83" customFormat="1" x14ac:dyDescent="0.25">
      <c r="A14" s="9" t="s">
        <v>16</v>
      </c>
      <c r="Y14" s="69"/>
      <c r="AH14" s="1"/>
      <c r="AJ14" t="s">
        <v>75</v>
      </c>
      <c r="AY14" s="1"/>
      <c r="BL14" s="1"/>
      <c r="BM14" s="1"/>
    </row>
    <row r="15" spans="1:83" x14ac:dyDescent="0.25">
      <c r="A15" s="38" t="s">
        <v>19</v>
      </c>
    </row>
    <row r="16" spans="1:83" ht="16.5" thickBot="1" x14ac:dyDescent="0.3">
      <c r="A16" s="39" t="s">
        <v>17</v>
      </c>
    </row>
  </sheetData>
  <conditionalFormatting sqref="C1">
    <cfRule type="expression" dxfId="27" priority="25">
      <formula>#REF!="Yes"</formula>
    </cfRule>
    <cfRule type="expression" dxfId="26" priority="26">
      <formula>#REF!="No"</formula>
    </cfRule>
    <cfRule type="expression" dxfId="25" priority="27">
      <formula>#REF!="Yes/Auto"</formula>
    </cfRule>
    <cfRule type="expression" dxfId="24" priority="28">
      <formula>#REF!="Yes/Manual"</formula>
    </cfRule>
  </conditionalFormatting>
  <conditionalFormatting sqref="E1">
    <cfRule type="expression" dxfId="23" priority="17">
      <formula>$L1048556="Yes"</formula>
    </cfRule>
    <cfRule type="expression" dxfId="22" priority="18">
      <formula>$L1048556="No"</formula>
    </cfRule>
    <cfRule type="expression" dxfId="21" priority="19">
      <formula>$L1048556="Yes/Auto"</formula>
    </cfRule>
    <cfRule type="expression" dxfId="20" priority="20">
      <formula>$L1048556="Yes/Manual"</formula>
    </cfRule>
  </conditionalFormatting>
  <conditionalFormatting sqref="G1:G5">
    <cfRule type="expression" dxfId="19" priority="13">
      <formula>#REF!="Yes"</formula>
    </cfRule>
    <cfRule type="expression" dxfId="18" priority="14">
      <formula>#REF!="No"</formula>
    </cfRule>
    <cfRule type="expression" dxfId="17" priority="15">
      <formula>#REF!="Yes/Auto"</formula>
    </cfRule>
    <cfRule type="expression" dxfId="16" priority="16">
      <formula>#REF!="Yes/Manual"</formula>
    </cfRule>
  </conditionalFormatting>
  <conditionalFormatting sqref="H1:I1">
    <cfRule type="expression" dxfId="15" priority="9">
      <formula>#REF!="Yes"</formula>
    </cfRule>
    <cfRule type="expression" dxfId="14" priority="10">
      <formula>#REF!="No"</formula>
    </cfRule>
    <cfRule type="expression" dxfId="13" priority="11">
      <formula>#REF!="Yes/Auto"</formula>
    </cfRule>
    <cfRule type="expression" dxfId="12" priority="12">
      <formula>#REF!="Yes/Manual"</formula>
    </cfRule>
  </conditionalFormatting>
  <conditionalFormatting sqref="O1:P1">
    <cfRule type="expression" dxfId="11" priority="5">
      <formula>#REF!="Yes"</formula>
    </cfRule>
    <cfRule type="expression" dxfId="10" priority="6">
      <formula>#REF!="No"</formula>
    </cfRule>
    <cfRule type="expression" dxfId="9" priority="7">
      <formula>#REF!="Yes/Auto"</formula>
    </cfRule>
    <cfRule type="expression" dxfId="8" priority="8">
      <formula>#REF!="Yes/Manual"</formula>
    </cfRule>
  </conditionalFormatting>
  <conditionalFormatting sqref="Q2">
    <cfRule type="expression" dxfId="7" priority="4">
      <formula>$A$2="GBP"</formula>
    </cfRule>
  </conditionalFormatting>
  <conditionalFormatting sqref="E2:F7 H2:H7 I2:K2 L2:L7 N2 O2:P7">
    <cfRule type="expression" dxfId="6" priority="3">
      <formula>$A$2="GBP"</formula>
    </cfRule>
  </conditionalFormatting>
  <conditionalFormatting sqref="E2:F7 H2:H7 I2:K2 L2:L7 N2 O2:P7">
    <cfRule type="expression" dxfId="5" priority="2">
      <formula>$A$2="USD"</formula>
    </cfRule>
  </conditionalFormatting>
  <conditionalFormatting sqref="E2:F7 H2:H7 I2:K2 L2:L7 N2 O2:P7">
    <cfRule type="expression" dxfId="4" priority="1">
      <formula>$A$2="EUR"</formula>
    </cfRule>
  </conditionalFormatting>
  <dataValidations count="1">
    <dataValidation type="list" allowBlank="1" showInputMessage="1" showErrorMessage="1" sqref="A2" xr:uid="{1D47C4F6-1C4F-4DD2-9F6C-E103BFA20203}">
      <formula1>"GBP,EUR,USD,JPY,AUD,CAD,CHF,INR,CNY,AED,SGD"</formula1>
    </dataValidation>
  </dataValidations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9018ED-9609-47BB-9B9D-1EAF5C2DC7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Currency</vt:lpstr>
      <vt:lpstr>Bonds</vt:lpstr>
      <vt:lpstr>Tenants</vt:lpstr>
      <vt:lpstr>Rating</vt:lpstr>
      <vt:lpstr>PQuery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Moore (Student)</dc:creator>
  <cp:lastModifiedBy>Marcus Moore (Student)</cp:lastModifiedBy>
  <dcterms:created xsi:type="dcterms:W3CDTF">2025-08-05T18:25:05Z</dcterms:created>
  <dcterms:modified xsi:type="dcterms:W3CDTF">2025-08-13T02:30:19Z</dcterms:modified>
</cp:coreProperties>
</file>